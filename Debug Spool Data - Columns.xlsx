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8_{82FD63A1-6A57-4BD0-9A7E-580FC247E00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Sheet1!$B$1:$BR$60</definedName>
    <definedName name="_xlnm._FilterDatabase" localSheetId="1" hidden="1">Sheet2!$A$1:$B$67</definedName>
    <definedName name="_xlnm._FilterDatabase" localSheetId="2" hidden="1">Sheet3!$A$1:$B$1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2" i="3"/>
</calcChain>
</file>

<file path=xl/sharedStrings.xml><?xml version="1.0" encoding="utf-8"?>
<sst xmlns="http://schemas.openxmlformats.org/spreadsheetml/2006/main" count="1491" uniqueCount="227">
  <si>
    <t>Fab ID</t>
  </si>
  <si>
    <t>Spool</t>
  </si>
  <si>
    <t>Job</t>
  </si>
  <si>
    <t>Spool Rev.</t>
  </si>
  <si>
    <t>Spool/Piece Mark</t>
  </si>
  <si>
    <t>Ref Drawing</t>
  </si>
  <si>
    <t>Drawing Rev.</t>
  </si>
  <si>
    <t>Client Release Number</t>
  </si>
  <si>
    <t>System</t>
  </si>
  <si>
    <t>Service Type</t>
  </si>
  <si>
    <t>Client Transmittal</t>
  </si>
  <si>
    <t>ISO Received Date</t>
  </si>
  <si>
    <t>Contractual FRD</t>
  </si>
  <si>
    <t>Client Target FRD</t>
  </si>
  <si>
    <t>Schedule</t>
  </si>
  <si>
    <t>Pipe Spec</t>
  </si>
  <si>
    <t>MAT. Group</t>
  </si>
  <si>
    <t>NPS</t>
  </si>
  <si>
    <t>Weight (lbs)</t>
  </si>
  <si>
    <t>Surface Area</t>
  </si>
  <si>
    <t>Field Design Input</t>
  </si>
  <si>
    <t>Priority</t>
  </si>
  <si>
    <t>PWHT</t>
  </si>
  <si>
    <t>Paint System</t>
  </si>
  <si>
    <t>Paint Color</t>
  </si>
  <si>
    <t>Plant Area</t>
  </si>
  <si>
    <t>Hydro Test</t>
  </si>
  <si>
    <t>Dimensional Report</t>
  </si>
  <si>
    <t>Hold Date</t>
  </si>
  <si>
    <t>Hold Release Date</t>
  </si>
  <si>
    <t>Hold Code</t>
  </si>
  <si>
    <t>Hold Description</t>
  </si>
  <si>
    <t>Drawn By</t>
  </si>
  <si>
    <t>Drawn</t>
  </si>
  <si>
    <t>Eng Rel</t>
  </si>
  <si>
    <t>MC Rel</t>
  </si>
  <si>
    <t>Cut</t>
  </si>
  <si>
    <t>First Fit</t>
  </si>
  <si>
    <t>Final Fit</t>
  </si>
  <si>
    <t>Weld Out</t>
  </si>
  <si>
    <t>Check Out</t>
  </si>
  <si>
    <t>QC</t>
  </si>
  <si>
    <t>NDE</t>
  </si>
  <si>
    <t>In Hydro</t>
  </si>
  <si>
    <t>QC Complete</t>
  </si>
  <si>
    <t>Ready To Ship</t>
  </si>
  <si>
    <t>Outside Service</t>
  </si>
  <si>
    <t>Ship To Paint</t>
  </si>
  <si>
    <t>Shipped</t>
  </si>
  <si>
    <t>Paint Packing List</t>
  </si>
  <si>
    <t>First Packing List Number</t>
  </si>
  <si>
    <t>Outside Service Packing List</t>
  </si>
  <si>
    <t>Notes</t>
  </si>
  <si>
    <t>Billed Date</t>
  </si>
  <si>
    <t>Invoice Number</t>
  </si>
  <si>
    <t>Invoice Date</t>
  </si>
  <si>
    <t>Yard Location</t>
  </si>
  <si>
    <t>RT %</t>
  </si>
  <si>
    <t>PT/MT %</t>
  </si>
  <si>
    <t>VT %</t>
  </si>
  <si>
    <t>Fabrication Tolerance</t>
  </si>
  <si>
    <t>Shipping Ticket ID</t>
  </si>
  <si>
    <t>Paint Shipping Ticket ID</t>
  </si>
  <si>
    <t>Outside Service Shipping Ticket ID</t>
  </si>
  <si>
    <t>Voided</t>
  </si>
  <si>
    <t>Spool_Status</t>
  </si>
  <si>
    <t>Error</t>
  </si>
  <si>
    <t>Error Description</t>
  </si>
  <si>
    <t>Comments</t>
  </si>
  <si>
    <t>2</t>
  </si>
  <si>
    <t>30507P</t>
  </si>
  <si>
    <t>1-P-016-SS-1-2</t>
  </si>
  <si>
    <t>1-P-016-SS-1</t>
  </si>
  <si>
    <t>0</t>
  </si>
  <si>
    <t>1</t>
  </si>
  <si>
    <t>SS150</t>
  </si>
  <si>
    <t>4</t>
  </si>
  <si>
    <t>NONE</t>
  </si>
  <si>
    <t>GGG</t>
  </si>
  <si>
    <t>N</t>
  </si>
  <si>
    <t>5%</t>
  </si>
  <si>
    <t>100%</t>
  </si>
  <si>
    <t>PFI ES-3</t>
  </si>
  <si>
    <t>None</t>
  </si>
  <si>
    <t>3</t>
  </si>
  <si>
    <t>1-P-016-SS-1-3</t>
  </si>
  <si>
    <t>1-P-016-SS-1-4</t>
  </si>
  <si>
    <t>5</t>
  </si>
  <si>
    <t>1-P-016-SS-2-1</t>
  </si>
  <si>
    <t>1-P-016-SS-2</t>
  </si>
  <si>
    <t>6</t>
  </si>
  <si>
    <t>1-P-016-SS-2-2</t>
  </si>
  <si>
    <t>8</t>
  </si>
  <si>
    <t>1-P-017-SS-1-2</t>
  </si>
  <si>
    <t>1-P-017-SS-1</t>
  </si>
  <si>
    <t>9</t>
  </si>
  <si>
    <t>1-P-017-SS-2-1</t>
  </si>
  <si>
    <t>1-P-017-SS-2</t>
  </si>
  <si>
    <t>10</t>
  </si>
  <si>
    <t>1-P-017-SS-2-2</t>
  </si>
  <si>
    <t>11</t>
  </si>
  <si>
    <t>1-P-017-SS-2-3</t>
  </si>
  <si>
    <t>12</t>
  </si>
  <si>
    <t>2-P-001-SS-1-1</t>
  </si>
  <si>
    <t>2-P-001-SS-1</t>
  </si>
  <si>
    <t>13</t>
  </si>
  <si>
    <t>2-P-001-SS-1-2</t>
  </si>
  <si>
    <t>15</t>
  </si>
  <si>
    <t>2-P-001-SS-1-4</t>
  </si>
  <si>
    <t>16</t>
  </si>
  <si>
    <t>2-P-001-SS-1-5</t>
  </si>
  <si>
    <t>17</t>
  </si>
  <si>
    <t>2-P-001-SS-1-6</t>
  </si>
  <si>
    <t>18</t>
  </si>
  <si>
    <t>2-P-001-SS-1-7</t>
  </si>
  <si>
    <t>20</t>
  </si>
  <si>
    <t>2-P-003-SS-1-2</t>
  </si>
  <si>
    <t>2-P-003-SS-1</t>
  </si>
  <si>
    <t>21</t>
  </si>
  <si>
    <t>2-P-003-SS-2-1</t>
  </si>
  <si>
    <t>2-P-003-SS-2</t>
  </si>
  <si>
    <t>22</t>
  </si>
  <si>
    <t>2-P-003-SS-2-2</t>
  </si>
  <si>
    <t>23</t>
  </si>
  <si>
    <t>2-P-003-SS-3-1</t>
  </si>
  <si>
    <t>2-P-003-SS-3</t>
  </si>
  <si>
    <t>25</t>
  </si>
  <si>
    <t>2-P-003-SS-3-3</t>
  </si>
  <si>
    <t>26</t>
  </si>
  <si>
    <t>2-P-003-SS-3-4</t>
  </si>
  <si>
    <t>32</t>
  </si>
  <si>
    <t>2-P-009-SS-2-1</t>
  </si>
  <si>
    <t>2-P-009-SS-2</t>
  </si>
  <si>
    <t>33</t>
  </si>
  <si>
    <t>2-P-010-SS-1-1</t>
  </si>
  <si>
    <t>2-P-010-SS-1</t>
  </si>
  <si>
    <t>35</t>
  </si>
  <si>
    <t>2-P-010-SS-2-2</t>
  </si>
  <si>
    <t>2-P-010-SS-2</t>
  </si>
  <si>
    <t>36</t>
  </si>
  <si>
    <t>2-P-010-SS-2-3</t>
  </si>
  <si>
    <t>37</t>
  </si>
  <si>
    <t>2-P-011-SS-1-1</t>
  </si>
  <si>
    <t>2-P-011-SS-1</t>
  </si>
  <si>
    <t>38</t>
  </si>
  <si>
    <t>2-P-011-SS-1-2</t>
  </si>
  <si>
    <t>39</t>
  </si>
  <si>
    <t>2-P-011-SS-2-1</t>
  </si>
  <si>
    <t>2-P-011-SS-2</t>
  </si>
  <si>
    <t>44</t>
  </si>
  <si>
    <t>2-P-013-SS-2-1</t>
  </si>
  <si>
    <t>2-P-013-SS-2</t>
  </si>
  <si>
    <t>45</t>
  </si>
  <si>
    <t>2-P-013-SS-2-2</t>
  </si>
  <si>
    <t>46</t>
  </si>
  <si>
    <t>2-P-013-SS-2-3</t>
  </si>
  <si>
    <t>47</t>
  </si>
  <si>
    <t>2-P-013-SS-2-4</t>
  </si>
  <si>
    <t>48</t>
  </si>
  <si>
    <t>2-P-013-SS-2-5</t>
  </si>
  <si>
    <t>52</t>
  </si>
  <si>
    <t>2-P-018-SS-1-1</t>
  </si>
  <si>
    <t>2-P-018-SS-1</t>
  </si>
  <si>
    <t>53</t>
  </si>
  <si>
    <t>2-P-018-SS-1-2</t>
  </si>
  <si>
    <t>54</t>
  </si>
  <si>
    <t>2-P-018-SS-1-3</t>
  </si>
  <si>
    <t>55</t>
  </si>
  <si>
    <t>2-P-018-SS-2-1</t>
  </si>
  <si>
    <t>2-P-018-SS-2</t>
  </si>
  <si>
    <t>56</t>
  </si>
  <si>
    <t>2-P-018-SS-2-2</t>
  </si>
  <si>
    <t>57</t>
  </si>
  <si>
    <t>2-P-018-SS-2-3</t>
  </si>
  <si>
    <t>59</t>
  </si>
  <si>
    <t>2-P-019-SS-1-2</t>
  </si>
  <si>
    <t>2-P-019-SS-1</t>
  </si>
  <si>
    <t>61</t>
  </si>
  <si>
    <t>2-P-019-SS-2-1</t>
  </si>
  <si>
    <t>2-P-019-SS-2</t>
  </si>
  <si>
    <t>63</t>
  </si>
  <si>
    <t>2-P-022-SS-1-1</t>
  </si>
  <si>
    <t>2-P-022-SS-1</t>
  </si>
  <si>
    <t>64</t>
  </si>
  <si>
    <t>2-P-022-SS-1-2</t>
  </si>
  <si>
    <t>67</t>
  </si>
  <si>
    <t>2-P-022-SS-2-2</t>
  </si>
  <si>
    <t>2-P-022-SS-2</t>
  </si>
  <si>
    <t>68</t>
  </si>
  <si>
    <t>2-PW-021-SS-1-2</t>
  </si>
  <si>
    <t>2-PW-021-SS-1</t>
  </si>
  <si>
    <t>69</t>
  </si>
  <si>
    <t>2-PW-021-SS-1-3</t>
  </si>
  <si>
    <t>70</t>
  </si>
  <si>
    <t>2-PW-021-SS-1-4</t>
  </si>
  <si>
    <t>71</t>
  </si>
  <si>
    <t>2-PW-021-SS-2-1</t>
  </si>
  <si>
    <t>2-PW-021-SS-2</t>
  </si>
  <si>
    <t>72</t>
  </si>
  <si>
    <t>2-PW-021-SS-2-2</t>
  </si>
  <si>
    <t>73</t>
  </si>
  <si>
    <t>2-PW-021-SS-3-1</t>
  </si>
  <si>
    <t>2-PW-021-SS-3</t>
  </si>
  <si>
    <t>74</t>
  </si>
  <si>
    <t>2-PW-021-SS-3-2</t>
  </si>
  <si>
    <t>75</t>
  </si>
  <si>
    <t>2-PW-021-SS-3-3</t>
  </si>
  <si>
    <t>76</t>
  </si>
  <si>
    <t>2-PW-021-SS-3-4</t>
  </si>
  <si>
    <t>77</t>
  </si>
  <si>
    <t>2-PW-021-SS-3-5</t>
  </si>
  <si>
    <t>78</t>
  </si>
  <si>
    <t>2-PW-021-SS-3-6</t>
  </si>
  <si>
    <t>84</t>
  </si>
  <si>
    <t>3-P-002-SS-2ET-1-2</t>
  </si>
  <si>
    <t>3-P-002-SS-2ET-1</t>
  </si>
  <si>
    <t>93</t>
  </si>
  <si>
    <t>3-P-006-SS-2-2</t>
  </si>
  <si>
    <t>3-P-006-SS-1</t>
  </si>
  <si>
    <t>99</t>
  </si>
  <si>
    <t>3-P-020-SS-1-2</t>
  </si>
  <si>
    <t>3-P-020-SS-1</t>
  </si>
  <si>
    <t>102</t>
  </si>
  <si>
    <t>3-P-020-SS-2-3</t>
  </si>
  <si>
    <t>3-P-020-SS-2</t>
  </si>
  <si>
    <t>Field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</si>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</sst>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0"/>
  <sheetViews>
    <sheetView workbookViewId="0">
      <selection activeCell="BO1" sqref="A1:BO1"/>
    </sheetView>
  </sheetViews>
  <sheetFormatPr defaultRowHeight="15" x14ac:dyDescent="0.25"/>
  <cols>
    <col min="2" max="2" width="11" bestFit="1" customWidth="1"/>
    <col min="3" max="3" width="10.5703125" bestFit="1" customWidth="1"/>
    <col min="4" max="4" width="8.5703125" bestFit="1" customWidth="1"/>
    <col min="5" max="5" width="14.85546875" bestFit="1" customWidth="1"/>
    <col min="6" max="6" width="21.42578125" bestFit="1" customWidth="1"/>
    <col min="7" max="7" width="16.28515625" bestFit="1" customWidth="1"/>
    <col min="8" max="8" width="17.140625" bestFit="1" customWidth="1"/>
    <col min="9" max="9" width="26.42578125" bestFit="1" customWidth="1"/>
    <col min="10" max="10" width="12" bestFit="1" customWidth="1"/>
    <col min="11" max="11" width="16.7109375" bestFit="1" customWidth="1"/>
    <col min="12" max="12" width="21.42578125" bestFit="1" customWidth="1"/>
    <col min="13" max="13" width="22" bestFit="1" customWidth="1"/>
    <col min="14" max="14" width="19.7109375" bestFit="1" customWidth="1"/>
    <col min="15" max="15" width="20.85546875" bestFit="1" customWidth="1"/>
    <col min="16" max="16" width="18.28515625" bestFit="1" customWidth="1"/>
    <col min="17" max="17" width="14.140625" bestFit="1" customWidth="1"/>
    <col min="18" max="18" width="16.28515625" bestFit="1" customWidth="1"/>
    <col min="20" max="20" width="16.5703125" bestFit="1" customWidth="1"/>
    <col min="21" max="21" width="16.7109375" bestFit="1" customWidth="1"/>
    <col min="22" max="22" width="21.85546875" bestFit="1" customWidth="1"/>
    <col min="23" max="23" width="12.140625" bestFit="1" customWidth="1"/>
    <col min="24" max="24" width="11" bestFit="1" customWidth="1"/>
    <col min="25" max="25" width="17" bestFit="1" customWidth="1"/>
    <col min="26" max="26" width="15.28515625" bestFit="1" customWidth="1"/>
    <col min="27" max="27" width="14.7109375" bestFit="1" customWidth="1"/>
    <col min="28" max="28" width="15" bestFit="1" customWidth="1"/>
    <col min="29" max="29" width="23.42578125" bestFit="1" customWidth="1"/>
    <col min="30" max="30" width="18.28515625" bestFit="1" customWidth="1"/>
    <col min="31" max="31" width="22" bestFit="1" customWidth="1"/>
    <col min="32" max="32" width="14.7109375" bestFit="1" customWidth="1"/>
    <col min="33" max="33" width="20.42578125" bestFit="1" customWidth="1"/>
    <col min="34" max="34" width="13.85546875" bestFit="1" customWidth="1"/>
    <col min="35" max="47" width="18.28515625" bestFit="1" customWidth="1"/>
    <col min="48" max="48" width="19.5703125" bestFit="1" customWidth="1"/>
    <col min="49" max="50" width="18.28515625" bestFit="1" customWidth="1"/>
    <col min="51" max="51" width="20.85546875" bestFit="1" customWidth="1"/>
    <col min="52" max="52" width="28.140625" bestFit="1" customWidth="1"/>
    <col min="53" max="53" width="30.5703125" bestFit="1" customWidth="1"/>
    <col min="54" max="54" width="10.85546875" bestFit="1" customWidth="1"/>
    <col min="55" max="55" width="15.28515625" bestFit="1" customWidth="1"/>
    <col min="56" max="56" width="19.85546875" bestFit="1" customWidth="1"/>
    <col min="57" max="57" width="18.28515625" bestFit="1" customWidth="1"/>
    <col min="58" max="58" width="17.42578125" bestFit="1" customWidth="1"/>
    <col min="59" max="59" width="9.7109375" bestFit="1" customWidth="1"/>
    <col min="60" max="60" width="13.42578125" bestFit="1" customWidth="1"/>
    <col min="61" max="61" width="9.85546875" bestFit="1" customWidth="1"/>
    <col min="62" max="62" width="24.85546875" bestFit="1" customWidth="1"/>
    <col min="63" max="63" width="21.42578125" bestFit="1" customWidth="1"/>
    <col min="64" max="64" width="26.7109375" bestFit="1" customWidth="1"/>
    <col min="65" max="65" width="36.28515625" bestFit="1" customWidth="1"/>
    <col min="66" max="66" width="12" bestFit="1" customWidth="1"/>
    <col min="67" max="67" width="17" bestFit="1" customWidth="1"/>
    <col min="68" max="68" width="9.85546875" bestFit="1" customWidth="1"/>
    <col min="69" max="69" width="20.5703125" bestFit="1" customWidth="1"/>
    <col min="70" max="70" width="15.140625" bestFit="1" customWidth="1"/>
  </cols>
  <sheetData>
    <row r="1" spans="1:7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>
        <v>0</v>
      </c>
      <c r="B2">
        <v>92731</v>
      </c>
      <c r="C2" t="s">
        <v>69</v>
      </c>
      <c r="D2" t="s">
        <v>70</v>
      </c>
      <c r="E2">
        <v>0</v>
      </c>
      <c r="F2" t="s">
        <v>71</v>
      </c>
      <c r="G2" t="s">
        <v>72</v>
      </c>
      <c r="H2" t="s">
        <v>73</v>
      </c>
      <c r="I2" t="s">
        <v>74</v>
      </c>
      <c r="L2" t="s">
        <v>74</v>
      </c>
      <c r="M2" s="2">
        <v>45603</v>
      </c>
      <c r="N2" s="2">
        <v>1</v>
      </c>
      <c r="O2" s="2">
        <v>1</v>
      </c>
      <c r="P2" s="2">
        <v>1</v>
      </c>
      <c r="Q2" t="s">
        <v>75</v>
      </c>
      <c r="R2" t="s">
        <v>76</v>
      </c>
      <c r="S2">
        <v>1</v>
      </c>
      <c r="T2">
        <v>12.396000000000001</v>
      </c>
      <c r="U2">
        <v>6.9740000000000002</v>
      </c>
      <c r="V2">
        <v>13.071</v>
      </c>
      <c r="X2" t="s">
        <v>77</v>
      </c>
      <c r="Y2" t="s">
        <v>77</v>
      </c>
      <c r="AB2" t="s">
        <v>77</v>
      </c>
      <c r="AC2" s="2">
        <v>45603</v>
      </c>
      <c r="AD2" s="2">
        <v>1</v>
      </c>
      <c r="AE2" s="2">
        <v>1</v>
      </c>
      <c r="AH2" t="s">
        <v>78</v>
      </c>
      <c r="AI2" s="2">
        <v>45602</v>
      </c>
      <c r="AJ2" s="2">
        <v>45611</v>
      </c>
      <c r="AK2" s="2">
        <v>45615</v>
      </c>
      <c r="AL2" s="2">
        <v>45615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BC2" t="s">
        <v>79</v>
      </c>
      <c r="BE2" s="2">
        <v>1</v>
      </c>
      <c r="BF2">
        <v>1</v>
      </c>
      <c r="BG2" t="s">
        <v>80</v>
      </c>
      <c r="BH2" t="s">
        <v>77</v>
      </c>
      <c r="BI2" t="s">
        <v>81</v>
      </c>
      <c r="BJ2" t="s">
        <v>82</v>
      </c>
      <c r="BK2" t="s">
        <v>83</v>
      </c>
      <c r="BL2" t="s">
        <v>83</v>
      </c>
      <c r="BM2" t="s">
        <v>83</v>
      </c>
      <c r="BN2" t="s">
        <v>79</v>
      </c>
      <c r="BO2" t="s">
        <v>36</v>
      </c>
    </row>
    <row r="3" spans="1:70" x14ac:dyDescent="0.25">
      <c r="A3" s="1">
        <v>1</v>
      </c>
      <c r="B3">
        <v>92732</v>
      </c>
      <c r="C3" t="s">
        <v>84</v>
      </c>
      <c r="D3" t="s">
        <v>70</v>
      </c>
      <c r="E3">
        <v>0</v>
      </c>
      <c r="F3" t="s">
        <v>85</v>
      </c>
      <c r="G3" t="s">
        <v>72</v>
      </c>
      <c r="H3" t="s">
        <v>73</v>
      </c>
      <c r="I3" t="s">
        <v>74</v>
      </c>
      <c r="L3" t="s">
        <v>74</v>
      </c>
      <c r="M3" s="2">
        <v>45603</v>
      </c>
      <c r="N3" s="2">
        <v>1</v>
      </c>
      <c r="O3" s="2">
        <v>1</v>
      </c>
      <c r="P3" s="2">
        <v>1</v>
      </c>
      <c r="Q3" t="s">
        <v>75</v>
      </c>
      <c r="R3" t="s">
        <v>76</v>
      </c>
      <c r="S3">
        <v>1</v>
      </c>
      <c r="T3">
        <v>26.137</v>
      </c>
      <c r="U3">
        <v>13.073</v>
      </c>
      <c r="V3">
        <v>9.8030000000000008</v>
      </c>
      <c r="X3" t="s">
        <v>77</v>
      </c>
      <c r="Y3" t="s">
        <v>77</v>
      </c>
      <c r="AB3" t="s">
        <v>77</v>
      </c>
      <c r="AC3" s="2">
        <v>45603</v>
      </c>
      <c r="AD3" s="2">
        <v>1</v>
      </c>
      <c r="AE3" s="2">
        <v>1</v>
      </c>
      <c r="AH3" t="s">
        <v>78</v>
      </c>
      <c r="AI3" s="2">
        <v>45602</v>
      </c>
      <c r="AJ3" s="2">
        <v>45611</v>
      </c>
      <c r="AK3" s="2">
        <v>45615</v>
      </c>
      <c r="AL3" s="2">
        <v>45615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BC3" t="s">
        <v>79</v>
      </c>
      <c r="BE3" s="2">
        <v>1</v>
      </c>
      <c r="BF3">
        <v>1</v>
      </c>
      <c r="BG3" t="s">
        <v>80</v>
      </c>
      <c r="BH3" t="s">
        <v>77</v>
      </c>
      <c r="BI3" t="s">
        <v>81</v>
      </c>
      <c r="BJ3" t="s">
        <v>82</v>
      </c>
      <c r="BK3" t="s">
        <v>83</v>
      </c>
      <c r="BL3" t="s">
        <v>83</v>
      </c>
      <c r="BM3" t="s">
        <v>83</v>
      </c>
      <c r="BN3" t="s">
        <v>79</v>
      </c>
      <c r="BO3" t="s">
        <v>36</v>
      </c>
    </row>
    <row r="4" spans="1:70" x14ac:dyDescent="0.25">
      <c r="A4" s="1">
        <v>2</v>
      </c>
      <c r="B4">
        <v>92733</v>
      </c>
      <c r="C4" t="s">
        <v>76</v>
      </c>
      <c r="D4" t="s">
        <v>70</v>
      </c>
      <c r="E4">
        <v>0</v>
      </c>
      <c r="F4" t="s">
        <v>86</v>
      </c>
      <c r="G4" t="s">
        <v>72</v>
      </c>
      <c r="H4" t="s">
        <v>73</v>
      </c>
      <c r="I4" t="s">
        <v>74</v>
      </c>
      <c r="L4" t="s">
        <v>74</v>
      </c>
      <c r="M4" s="2">
        <v>45603</v>
      </c>
      <c r="N4" s="2">
        <v>1</v>
      </c>
      <c r="O4" s="2">
        <v>1</v>
      </c>
      <c r="P4" s="2">
        <v>1</v>
      </c>
      <c r="Q4" t="s">
        <v>75</v>
      </c>
      <c r="R4" t="s">
        <v>76</v>
      </c>
      <c r="S4">
        <v>1</v>
      </c>
      <c r="T4">
        <v>64.581000000000003</v>
      </c>
      <c r="U4">
        <v>33.448</v>
      </c>
      <c r="V4">
        <v>22.873999999999999</v>
      </c>
      <c r="X4" t="s">
        <v>77</v>
      </c>
      <c r="Y4" t="s">
        <v>77</v>
      </c>
      <c r="AB4" t="s">
        <v>77</v>
      </c>
      <c r="AC4" s="2">
        <v>45603</v>
      </c>
      <c r="AD4" s="2">
        <v>1</v>
      </c>
      <c r="AE4" s="2">
        <v>1</v>
      </c>
      <c r="AH4" t="s">
        <v>78</v>
      </c>
      <c r="AI4" s="2">
        <v>45602</v>
      </c>
      <c r="AJ4" s="2">
        <v>45611</v>
      </c>
      <c r="AK4" s="2">
        <v>45615</v>
      </c>
      <c r="AL4" s="2">
        <v>45615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BC4" t="s">
        <v>79</v>
      </c>
      <c r="BE4" s="2">
        <v>1</v>
      </c>
      <c r="BF4">
        <v>1</v>
      </c>
      <c r="BG4" t="s">
        <v>80</v>
      </c>
      <c r="BH4" t="s">
        <v>77</v>
      </c>
      <c r="BI4" t="s">
        <v>81</v>
      </c>
      <c r="BJ4" t="s">
        <v>82</v>
      </c>
      <c r="BK4" t="s">
        <v>83</v>
      </c>
      <c r="BL4" t="s">
        <v>83</v>
      </c>
      <c r="BM4" t="s">
        <v>83</v>
      </c>
      <c r="BN4" t="s">
        <v>79</v>
      </c>
      <c r="BO4" t="s">
        <v>36</v>
      </c>
    </row>
    <row r="5" spans="1:70" x14ac:dyDescent="0.25">
      <c r="A5" s="1">
        <v>3</v>
      </c>
      <c r="B5">
        <v>92734</v>
      </c>
      <c r="C5" t="s">
        <v>87</v>
      </c>
      <c r="D5" t="s">
        <v>70</v>
      </c>
      <c r="E5">
        <v>0</v>
      </c>
      <c r="F5" t="s">
        <v>88</v>
      </c>
      <c r="G5" t="s">
        <v>89</v>
      </c>
      <c r="H5" t="s">
        <v>73</v>
      </c>
      <c r="I5" t="s">
        <v>74</v>
      </c>
      <c r="L5" t="s">
        <v>74</v>
      </c>
      <c r="M5" s="2">
        <v>45603</v>
      </c>
      <c r="N5" s="2">
        <v>1</v>
      </c>
      <c r="O5" s="2">
        <v>1</v>
      </c>
      <c r="P5" s="2">
        <v>1</v>
      </c>
      <c r="Q5" t="s">
        <v>75</v>
      </c>
      <c r="R5" t="s">
        <v>76</v>
      </c>
      <c r="S5">
        <v>1</v>
      </c>
      <c r="T5">
        <v>53.13</v>
      </c>
      <c r="U5">
        <v>23.177</v>
      </c>
      <c r="V5">
        <v>32.677999999999997</v>
      </c>
      <c r="X5" t="s">
        <v>77</v>
      </c>
      <c r="Y5" t="s">
        <v>77</v>
      </c>
      <c r="AB5" t="s">
        <v>77</v>
      </c>
      <c r="AC5" s="2">
        <v>45603</v>
      </c>
      <c r="AD5" s="2">
        <v>1</v>
      </c>
      <c r="AE5" s="2">
        <v>1</v>
      </c>
      <c r="AH5" t="s">
        <v>78</v>
      </c>
      <c r="AI5" s="2">
        <v>45602</v>
      </c>
      <c r="AJ5" s="2">
        <v>45611</v>
      </c>
      <c r="AK5" s="2">
        <v>45615</v>
      </c>
      <c r="AL5" s="2">
        <v>45615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BC5" t="s">
        <v>79</v>
      </c>
      <c r="BE5" s="2">
        <v>1</v>
      </c>
      <c r="BF5">
        <v>1</v>
      </c>
      <c r="BG5" t="s">
        <v>80</v>
      </c>
      <c r="BH5" t="s">
        <v>77</v>
      </c>
      <c r="BI5" t="s">
        <v>81</v>
      </c>
      <c r="BJ5" t="s">
        <v>82</v>
      </c>
      <c r="BK5" t="s">
        <v>83</v>
      </c>
      <c r="BL5" t="s">
        <v>83</v>
      </c>
      <c r="BM5" t="s">
        <v>83</v>
      </c>
      <c r="BN5" t="s">
        <v>79</v>
      </c>
      <c r="BO5" t="s">
        <v>36</v>
      </c>
    </row>
    <row r="6" spans="1:70" x14ac:dyDescent="0.25">
      <c r="A6" s="1">
        <v>4</v>
      </c>
      <c r="B6">
        <v>92735</v>
      </c>
      <c r="C6" t="s">
        <v>90</v>
      </c>
      <c r="D6" t="s">
        <v>70</v>
      </c>
      <c r="E6">
        <v>0</v>
      </c>
      <c r="F6" t="s">
        <v>91</v>
      </c>
      <c r="G6" t="s">
        <v>89</v>
      </c>
      <c r="H6" t="s">
        <v>73</v>
      </c>
      <c r="I6" t="s">
        <v>74</v>
      </c>
      <c r="L6" t="s">
        <v>74</v>
      </c>
      <c r="M6" s="2">
        <v>45603</v>
      </c>
      <c r="N6" s="2">
        <v>1</v>
      </c>
      <c r="O6" s="2">
        <v>1</v>
      </c>
      <c r="P6" s="2">
        <v>1</v>
      </c>
      <c r="Q6" t="s">
        <v>75</v>
      </c>
      <c r="R6" t="s">
        <v>76</v>
      </c>
      <c r="S6">
        <v>1</v>
      </c>
      <c r="T6">
        <v>4.7489999999999997</v>
      </c>
      <c r="U6">
        <v>2.323</v>
      </c>
      <c r="V6">
        <v>3.2679999999999998</v>
      </c>
      <c r="X6" t="s">
        <v>77</v>
      </c>
      <c r="Y6" t="s">
        <v>77</v>
      </c>
      <c r="AB6" t="s">
        <v>77</v>
      </c>
      <c r="AC6" s="2">
        <v>45603</v>
      </c>
      <c r="AD6" s="2">
        <v>1</v>
      </c>
      <c r="AE6" s="2">
        <v>1</v>
      </c>
      <c r="AH6" t="s">
        <v>78</v>
      </c>
      <c r="AI6" s="2">
        <v>45602</v>
      </c>
      <c r="AJ6" s="2">
        <v>45611</v>
      </c>
      <c r="AK6" s="2">
        <v>45615</v>
      </c>
      <c r="AL6" s="2">
        <v>45615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BC6" t="s">
        <v>79</v>
      </c>
      <c r="BE6" s="2">
        <v>1</v>
      </c>
      <c r="BF6">
        <v>1</v>
      </c>
      <c r="BG6" t="s">
        <v>80</v>
      </c>
      <c r="BH6" t="s">
        <v>77</v>
      </c>
      <c r="BI6" t="s">
        <v>81</v>
      </c>
      <c r="BJ6" t="s">
        <v>82</v>
      </c>
      <c r="BK6" t="s">
        <v>83</v>
      </c>
      <c r="BL6" t="s">
        <v>83</v>
      </c>
      <c r="BM6" t="s">
        <v>83</v>
      </c>
      <c r="BN6" t="s">
        <v>79</v>
      </c>
      <c r="BO6" t="s">
        <v>36</v>
      </c>
    </row>
    <row r="7" spans="1:70" x14ac:dyDescent="0.25">
      <c r="A7" s="1">
        <v>5</v>
      </c>
      <c r="B7">
        <v>92737</v>
      </c>
      <c r="C7" t="s">
        <v>92</v>
      </c>
      <c r="D7" t="s">
        <v>70</v>
      </c>
      <c r="E7">
        <v>0</v>
      </c>
      <c r="F7" t="s">
        <v>93</v>
      </c>
      <c r="G7" t="s">
        <v>94</v>
      </c>
      <c r="H7" t="s">
        <v>73</v>
      </c>
      <c r="I7" t="s">
        <v>74</v>
      </c>
      <c r="L7" t="s">
        <v>74</v>
      </c>
      <c r="M7" s="2">
        <v>45603</v>
      </c>
      <c r="N7" s="2">
        <v>1</v>
      </c>
      <c r="O7" s="2">
        <v>1</v>
      </c>
      <c r="P7" s="2">
        <v>1</v>
      </c>
      <c r="Q7" t="s">
        <v>75</v>
      </c>
      <c r="R7" t="s">
        <v>76</v>
      </c>
      <c r="S7">
        <v>1</v>
      </c>
      <c r="T7">
        <v>44.304000000000002</v>
      </c>
      <c r="U7">
        <v>25.38</v>
      </c>
      <c r="V7">
        <v>32.677999999999997</v>
      </c>
      <c r="X7" t="s">
        <v>77</v>
      </c>
      <c r="Y7" t="s">
        <v>77</v>
      </c>
      <c r="AB7" t="s">
        <v>77</v>
      </c>
      <c r="AC7" s="2">
        <v>45603</v>
      </c>
      <c r="AD7" s="2">
        <v>1</v>
      </c>
      <c r="AE7" s="2">
        <v>1</v>
      </c>
      <c r="AH7" t="s">
        <v>78</v>
      </c>
      <c r="AI7" s="2">
        <v>45602</v>
      </c>
      <c r="AJ7" s="2">
        <v>45611</v>
      </c>
      <c r="AK7" s="2">
        <v>45615</v>
      </c>
      <c r="AL7" s="2">
        <v>45615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BC7" t="s">
        <v>79</v>
      </c>
      <c r="BE7" s="2">
        <v>1</v>
      </c>
      <c r="BF7">
        <v>1</v>
      </c>
      <c r="BG7" t="s">
        <v>80</v>
      </c>
      <c r="BH7" t="s">
        <v>77</v>
      </c>
      <c r="BI7" t="s">
        <v>81</v>
      </c>
      <c r="BJ7" t="s">
        <v>82</v>
      </c>
      <c r="BK7" t="s">
        <v>83</v>
      </c>
      <c r="BL7" t="s">
        <v>83</v>
      </c>
      <c r="BM7" t="s">
        <v>83</v>
      </c>
      <c r="BN7" t="s">
        <v>79</v>
      </c>
      <c r="BO7" t="s">
        <v>36</v>
      </c>
    </row>
    <row r="8" spans="1:70" x14ac:dyDescent="0.25">
      <c r="A8" s="1">
        <v>6</v>
      </c>
      <c r="B8">
        <v>92738</v>
      </c>
      <c r="C8" t="s">
        <v>95</v>
      </c>
      <c r="D8" t="s">
        <v>70</v>
      </c>
      <c r="E8">
        <v>0</v>
      </c>
      <c r="F8" t="s">
        <v>96</v>
      </c>
      <c r="G8" t="s">
        <v>97</v>
      </c>
      <c r="H8" t="s">
        <v>73</v>
      </c>
      <c r="I8" t="s">
        <v>74</v>
      </c>
      <c r="L8" t="s">
        <v>74</v>
      </c>
      <c r="M8" s="2">
        <v>45603</v>
      </c>
      <c r="N8" s="2">
        <v>1</v>
      </c>
      <c r="O8" s="2">
        <v>1</v>
      </c>
      <c r="P8" s="2">
        <v>1</v>
      </c>
      <c r="Q8" t="s">
        <v>75</v>
      </c>
      <c r="R8" t="s">
        <v>76</v>
      </c>
      <c r="S8">
        <v>1</v>
      </c>
      <c r="T8">
        <v>36.595999999999997</v>
      </c>
      <c r="U8">
        <v>17.677</v>
      </c>
      <c r="V8">
        <v>6.5359999999999996</v>
      </c>
      <c r="X8" t="s">
        <v>77</v>
      </c>
      <c r="Y8" t="s">
        <v>77</v>
      </c>
      <c r="AB8" t="s">
        <v>77</v>
      </c>
      <c r="AC8" s="2">
        <v>45603</v>
      </c>
      <c r="AD8" s="2">
        <v>1</v>
      </c>
      <c r="AE8" s="2">
        <v>1</v>
      </c>
      <c r="AH8" t="s">
        <v>78</v>
      </c>
      <c r="AI8" s="2">
        <v>45602</v>
      </c>
      <c r="AJ8" s="2">
        <v>45611</v>
      </c>
      <c r="AK8" s="2">
        <v>45615</v>
      </c>
      <c r="AL8" s="2">
        <v>45615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BC8" t="s">
        <v>79</v>
      </c>
      <c r="BE8" s="2">
        <v>1</v>
      </c>
      <c r="BF8">
        <v>1</v>
      </c>
      <c r="BG8" t="s">
        <v>80</v>
      </c>
      <c r="BH8" t="s">
        <v>77</v>
      </c>
      <c r="BI8" t="s">
        <v>81</v>
      </c>
      <c r="BJ8" t="s">
        <v>82</v>
      </c>
      <c r="BK8" t="s">
        <v>83</v>
      </c>
      <c r="BL8" t="s">
        <v>83</v>
      </c>
      <c r="BM8" t="s">
        <v>83</v>
      </c>
      <c r="BN8" t="s">
        <v>79</v>
      </c>
      <c r="BO8" t="s">
        <v>36</v>
      </c>
    </row>
    <row r="9" spans="1:70" x14ac:dyDescent="0.25">
      <c r="A9" s="1">
        <v>7</v>
      </c>
      <c r="B9">
        <v>92739</v>
      </c>
      <c r="C9" t="s">
        <v>98</v>
      </c>
      <c r="D9" t="s">
        <v>70</v>
      </c>
      <c r="E9">
        <v>0</v>
      </c>
      <c r="F9" t="s">
        <v>99</v>
      </c>
      <c r="G9" t="s">
        <v>97</v>
      </c>
      <c r="H9" t="s">
        <v>73</v>
      </c>
      <c r="I9" t="s">
        <v>74</v>
      </c>
      <c r="L9" t="s">
        <v>74</v>
      </c>
      <c r="M9" s="2">
        <v>45603</v>
      </c>
      <c r="N9" s="2">
        <v>1</v>
      </c>
      <c r="O9" s="2">
        <v>1</v>
      </c>
      <c r="P9" s="2">
        <v>1</v>
      </c>
      <c r="Q9" t="s">
        <v>75</v>
      </c>
      <c r="R9" t="s">
        <v>76</v>
      </c>
      <c r="S9">
        <v>1</v>
      </c>
      <c r="T9">
        <v>37.756</v>
      </c>
      <c r="U9">
        <v>15.166</v>
      </c>
      <c r="V9">
        <v>26.141999999999999</v>
      </c>
      <c r="X9" t="s">
        <v>77</v>
      </c>
      <c r="Y9" t="s">
        <v>77</v>
      </c>
      <c r="AB9" t="s">
        <v>77</v>
      </c>
      <c r="AC9" s="2">
        <v>45603</v>
      </c>
      <c r="AD9" s="2">
        <v>1</v>
      </c>
      <c r="AE9" s="2">
        <v>1</v>
      </c>
      <c r="AH9" t="s">
        <v>78</v>
      </c>
      <c r="AI9" s="2">
        <v>45602</v>
      </c>
      <c r="AJ9" s="2">
        <v>45611</v>
      </c>
      <c r="AK9" s="2">
        <v>45615</v>
      </c>
      <c r="AL9" s="2">
        <v>45615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BC9" t="s">
        <v>79</v>
      </c>
      <c r="BE9" s="2">
        <v>1</v>
      </c>
      <c r="BF9">
        <v>1</v>
      </c>
      <c r="BG9" t="s">
        <v>80</v>
      </c>
      <c r="BH9" t="s">
        <v>77</v>
      </c>
      <c r="BI9" t="s">
        <v>81</v>
      </c>
      <c r="BJ9" t="s">
        <v>82</v>
      </c>
      <c r="BK9" t="s">
        <v>83</v>
      </c>
      <c r="BL9" t="s">
        <v>83</v>
      </c>
      <c r="BM9" t="s">
        <v>83</v>
      </c>
      <c r="BN9" t="s">
        <v>79</v>
      </c>
      <c r="BO9" t="s">
        <v>36</v>
      </c>
    </row>
    <row r="10" spans="1:70" x14ac:dyDescent="0.25">
      <c r="A10" s="1">
        <v>8</v>
      </c>
      <c r="B10">
        <v>92740</v>
      </c>
      <c r="C10" t="s">
        <v>100</v>
      </c>
      <c r="D10" t="s">
        <v>70</v>
      </c>
      <c r="E10">
        <v>0</v>
      </c>
      <c r="F10" t="s">
        <v>101</v>
      </c>
      <c r="G10" t="s">
        <v>97</v>
      </c>
      <c r="H10" t="s">
        <v>73</v>
      </c>
      <c r="I10" t="s">
        <v>74</v>
      </c>
      <c r="L10" t="s">
        <v>74</v>
      </c>
      <c r="M10" s="2">
        <v>45603</v>
      </c>
      <c r="N10" s="2">
        <v>1</v>
      </c>
      <c r="O10" s="2">
        <v>1</v>
      </c>
      <c r="P10" s="2">
        <v>1</v>
      </c>
      <c r="Q10" t="s">
        <v>75</v>
      </c>
      <c r="R10" t="s">
        <v>76</v>
      </c>
      <c r="S10">
        <v>1</v>
      </c>
      <c r="T10">
        <v>4.7489999999999997</v>
      </c>
      <c r="U10">
        <v>2.323</v>
      </c>
      <c r="V10">
        <v>3.2679999999999998</v>
      </c>
      <c r="X10" t="s">
        <v>77</v>
      </c>
      <c r="Y10" t="s">
        <v>77</v>
      </c>
      <c r="AB10" t="s">
        <v>77</v>
      </c>
      <c r="AC10" s="2">
        <v>45603</v>
      </c>
      <c r="AD10" s="2">
        <v>1</v>
      </c>
      <c r="AE10" s="2">
        <v>1</v>
      </c>
      <c r="AH10" t="s">
        <v>78</v>
      </c>
      <c r="AI10" s="2">
        <v>45602</v>
      </c>
      <c r="AJ10" s="2">
        <v>45611</v>
      </c>
      <c r="AK10" s="2">
        <v>45615</v>
      </c>
      <c r="AL10" s="2">
        <v>45615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BC10" t="s">
        <v>79</v>
      </c>
      <c r="BE10" s="2">
        <v>1</v>
      </c>
      <c r="BF10">
        <v>1</v>
      </c>
      <c r="BG10" t="s">
        <v>80</v>
      </c>
      <c r="BH10" t="s">
        <v>77</v>
      </c>
      <c r="BI10" t="s">
        <v>81</v>
      </c>
      <c r="BJ10" t="s">
        <v>82</v>
      </c>
      <c r="BK10" t="s">
        <v>83</v>
      </c>
      <c r="BL10" t="s">
        <v>83</v>
      </c>
      <c r="BM10" t="s">
        <v>83</v>
      </c>
      <c r="BN10" t="s">
        <v>79</v>
      </c>
      <c r="BO10" t="s">
        <v>36</v>
      </c>
    </row>
    <row r="11" spans="1:70" x14ac:dyDescent="0.25">
      <c r="A11" s="1">
        <v>9</v>
      </c>
      <c r="B11">
        <v>92741</v>
      </c>
      <c r="C11" t="s">
        <v>102</v>
      </c>
      <c r="D11" t="s">
        <v>70</v>
      </c>
      <c r="E11">
        <v>0</v>
      </c>
      <c r="F11" t="s">
        <v>103</v>
      </c>
      <c r="G11" t="s">
        <v>104</v>
      </c>
      <c r="H11" t="s">
        <v>73</v>
      </c>
      <c r="I11" t="s">
        <v>74</v>
      </c>
      <c r="L11" t="s">
        <v>74</v>
      </c>
      <c r="M11" s="2">
        <v>45603</v>
      </c>
      <c r="N11" s="2">
        <v>1</v>
      </c>
      <c r="O11" s="2">
        <v>1</v>
      </c>
      <c r="P11" s="2">
        <v>1</v>
      </c>
      <c r="Q11" t="s">
        <v>75</v>
      </c>
      <c r="R11" t="s">
        <v>76</v>
      </c>
      <c r="S11">
        <v>2</v>
      </c>
      <c r="T11">
        <v>15.381</v>
      </c>
      <c r="U11">
        <v>5.9640000000000004</v>
      </c>
      <c r="V11">
        <v>10.063000000000001</v>
      </c>
      <c r="X11" t="s">
        <v>77</v>
      </c>
      <c r="Y11" t="s">
        <v>77</v>
      </c>
      <c r="AB11" t="s">
        <v>77</v>
      </c>
      <c r="AC11" s="2">
        <v>45603</v>
      </c>
      <c r="AD11" s="2">
        <v>1</v>
      </c>
      <c r="AE11" s="2">
        <v>1</v>
      </c>
      <c r="AH11" t="s">
        <v>78</v>
      </c>
      <c r="AI11" s="2">
        <v>45602</v>
      </c>
      <c r="AJ11" s="2">
        <v>45611</v>
      </c>
      <c r="AK11" s="2">
        <v>45615</v>
      </c>
      <c r="AL11" s="2">
        <v>45615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BC11" t="s">
        <v>79</v>
      </c>
      <c r="BE11" s="2">
        <v>1</v>
      </c>
      <c r="BF11">
        <v>1</v>
      </c>
      <c r="BG11" t="s">
        <v>80</v>
      </c>
      <c r="BH11" t="s">
        <v>77</v>
      </c>
      <c r="BI11" t="s">
        <v>81</v>
      </c>
      <c r="BJ11" t="s">
        <v>82</v>
      </c>
      <c r="BK11" t="s">
        <v>83</v>
      </c>
      <c r="BL11" t="s">
        <v>83</v>
      </c>
      <c r="BM11" t="s">
        <v>83</v>
      </c>
      <c r="BN11" t="s">
        <v>79</v>
      </c>
      <c r="BO11" t="s">
        <v>36</v>
      </c>
    </row>
    <row r="12" spans="1:70" x14ac:dyDescent="0.25">
      <c r="A12" s="1">
        <v>10</v>
      </c>
      <c r="B12">
        <v>92742</v>
      </c>
      <c r="C12" t="s">
        <v>105</v>
      </c>
      <c r="D12" t="s">
        <v>70</v>
      </c>
      <c r="E12">
        <v>0</v>
      </c>
      <c r="F12" t="s">
        <v>106</v>
      </c>
      <c r="G12" t="s">
        <v>104</v>
      </c>
      <c r="H12" t="s">
        <v>73</v>
      </c>
      <c r="I12" t="s">
        <v>74</v>
      </c>
      <c r="L12" t="s">
        <v>74</v>
      </c>
      <c r="M12" s="2">
        <v>45603</v>
      </c>
      <c r="N12" s="2">
        <v>1</v>
      </c>
      <c r="O12" s="2">
        <v>1</v>
      </c>
      <c r="P12" s="2">
        <v>1</v>
      </c>
      <c r="Q12" t="s">
        <v>75</v>
      </c>
      <c r="R12" t="s">
        <v>76</v>
      </c>
      <c r="S12">
        <v>2</v>
      </c>
      <c r="T12">
        <v>20.016999999999999</v>
      </c>
      <c r="U12">
        <v>7.2190000000000003</v>
      </c>
      <c r="V12">
        <v>20.125</v>
      </c>
      <c r="X12" t="s">
        <v>77</v>
      </c>
      <c r="Y12" t="s">
        <v>77</v>
      </c>
      <c r="AB12" t="s">
        <v>77</v>
      </c>
      <c r="AC12" s="2">
        <v>45603</v>
      </c>
      <c r="AD12" s="2">
        <v>1</v>
      </c>
      <c r="AE12" s="2">
        <v>1</v>
      </c>
      <c r="AH12" t="s">
        <v>78</v>
      </c>
      <c r="AI12" s="2">
        <v>45602</v>
      </c>
      <c r="AJ12" s="2">
        <v>45611</v>
      </c>
      <c r="AK12" s="2">
        <v>45615</v>
      </c>
      <c r="AL12" s="2">
        <v>45615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BC12" t="s">
        <v>79</v>
      </c>
      <c r="BE12" s="2">
        <v>1</v>
      </c>
      <c r="BF12">
        <v>1</v>
      </c>
      <c r="BG12" t="s">
        <v>80</v>
      </c>
      <c r="BH12" t="s">
        <v>77</v>
      </c>
      <c r="BI12" t="s">
        <v>81</v>
      </c>
      <c r="BJ12" t="s">
        <v>82</v>
      </c>
      <c r="BK12" t="s">
        <v>83</v>
      </c>
      <c r="BL12" t="s">
        <v>83</v>
      </c>
      <c r="BM12" t="s">
        <v>83</v>
      </c>
      <c r="BN12" t="s">
        <v>79</v>
      </c>
      <c r="BO12" t="s">
        <v>36</v>
      </c>
    </row>
    <row r="13" spans="1:70" x14ac:dyDescent="0.25">
      <c r="A13" s="1">
        <v>11</v>
      </c>
      <c r="B13">
        <v>92744</v>
      </c>
      <c r="C13" t="s">
        <v>107</v>
      </c>
      <c r="D13" t="s">
        <v>70</v>
      </c>
      <c r="E13">
        <v>0</v>
      </c>
      <c r="F13" t="s">
        <v>108</v>
      </c>
      <c r="G13" t="s">
        <v>104</v>
      </c>
      <c r="H13" t="s">
        <v>73</v>
      </c>
      <c r="I13" t="s">
        <v>74</v>
      </c>
      <c r="L13" t="s">
        <v>74</v>
      </c>
      <c r="M13" s="2">
        <v>45603</v>
      </c>
      <c r="N13" s="2">
        <v>1</v>
      </c>
      <c r="O13" s="2">
        <v>1</v>
      </c>
      <c r="P13" s="2">
        <v>1</v>
      </c>
      <c r="Q13" t="s">
        <v>75</v>
      </c>
      <c r="R13" t="s">
        <v>76</v>
      </c>
      <c r="S13">
        <v>2</v>
      </c>
      <c r="T13">
        <v>24.9</v>
      </c>
      <c r="U13">
        <v>11.125</v>
      </c>
      <c r="V13">
        <v>15.093999999999999</v>
      </c>
      <c r="X13" t="s">
        <v>77</v>
      </c>
      <c r="Y13" t="s">
        <v>77</v>
      </c>
      <c r="AB13" t="s">
        <v>77</v>
      </c>
      <c r="AC13" s="2">
        <v>45603</v>
      </c>
      <c r="AD13" s="2">
        <v>1</v>
      </c>
      <c r="AE13" s="2">
        <v>1</v>
      </c>
      <c r="AH13" t="s">
        <v>78</v>
      </c>
      <c r="AI13" s="2">
        <v>45602</v>
      </c>
      <c r="AJ13" s="2">
        <v>45611</v>
      </c>
      <c r="AK13" s="2">
        <v>45615</v>
      </c>
      <c r="AL13" s="2">
        <v>45615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BC13" t="s">
        <v>79</v>
      </c>
      <c r="BE13" s="2">
        <v>1</v>
      </c>
      <c r="BF13">
        <v>1</v>
      </c>
      <c r="BG13" t="s">
        <v>80</v>
      </c>
      <c r="BH13" t="s">
        <v>77</v>
      </c>
      <c r="BI13" t="s">
        <v>81</v>
      </c>
      <c r="BJ13" t="s">
        <v>82</v>
      </c>
      <c r="BK13" t="s">
        <v>83</v>
      </c>
      <c r="BL13" t="s">
        <v>83</v>
      </c>
      <c r="BM13" t="s">
        <v>83</v>
      </c>
      <c r="BN13" t="s">
        <v>79</v>
      </c>
      <c r="BO13" t="s">
        <v>36</v>
      </c>
    </row>
    <row r="14" spans="1:70" x14ac:dyDescent="0.25">
      <c r="A14" s="1">
        <v>12</v>
      </c>
      <c r="B14">
        <v>92745</v>
      </c>
      <c r="C14" t="s">
        <v>109</v>
      </c>
      <c r="D14" t="s">
        <v>70</v>
      </c>
      <c r="E14">
        <v>0</v>
      </c>
      <c r="F14" t="s">
        <v>110</v>
      </c>
      <c r="G14" t="s">
        <v>104</v>
      </c>
      <c r="H14" t="s">
        <v>73</v>
      </c>
      <c r="I14" t="s">
        <v>74</v>
      </c>
      <c r="L14" t="s">
        <v>74</v>
      </c>
      <c r="M14" s="2">
        <v>45603</v>
      </c>
      <c r="N14" s="2">
        <v>1</v>
      </c>
      <c r="O14" s="2">
        <v>1</v>
      </c>
      <c r="P14" s="2">
        <v>1</v>
      </c>
      <c r="Q14" t="s">
        <v>75</v>
      </c>
      <c r="R14" t="s">
        <v>76</v>
      </c>
      <c r="S14">
        <v>2</v>
      </c>
      <c r="T14">
        <v>75.456000000000003</v>
      </c>
      <c r="U14">
        <v>20.792000000000002</v>
      </c>
      <c r="V14">
        <v>5.0309999999999997</v>
      </c>
      <c r="X14" t="s">
        <v>77</v>
      </c>
      <c r="Y14" t="s">
        <v>77</v>
      </c>
      <c r="AB14" t="s">
        <v>77</v>
      </c>
      <c r="AC14" s="2">
        <v>45603</v>
      </c>
      <c r="AD14" s="2">
        <v>1</v>
      </c>
      <c r="AE14" s="2">
        <v>1</v>
      </c>
      <c r="AH14" t="s">
        <v>78</v>
      </c>
      <c r="AI14" s="2">
        <v>45602</v>
      </c>
      <c r="AJ14" s="2">
        <v>45611</v>
      </c>
      <c r="AK14" s="2">
        <v>45615</v>
      </c>
      <c r="AL14" s="2">
        <v>45615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BC14" t="s">
        <v>79</v>
      </c>
      <c r="BE14" s="2">
        <v>1</v>
      </c>
      <c r="BF14">
        <v>1</v>
      </c>
      <c r="BG14" t="s">
        <v>80</v>
      </c>
      <c r="BH14" t="s">
        <v>77</v>
      </c>
      <c r="BI14" t="s">
        <v>81</v>
      </c>
      <c r="BJ14" t="s">
        <v>82</v>
      </c>
      <c r="BK14" t="s">
        <v>83</v>
      </c>
      <c r="BL14" t="s">
        <v>83</v>
      </c>
      <c r="BM14" t="s">
        <v>83</v>
      </c>
      <c r="BN14" t="s">
        <v>79</v>
      </c>
      <c r="BO14" t="s">
        <v>36</v>
      </c>
    </row>
    <row r="15" spans="1:70" x14ac:dyDescent="0.25">
      <c r="A15" s="1">
        <v>13</v>
      </c>
      <c r="B15">
        <v>92746</v>
      </c>
      <c r="C15" t="s">
        <v>111</v>
      </c>
      <c r="D15" t="s">
        <v>70</v>
      </c>
      <c r="E15">
        <v>0</v>
      </c>
      <c r="F15" t="s">
        <v>112</v>
      </c>
      <c r="G15" t="s">
        <v>104</v>
      </c>
      <c r="H15" t="s">
        <v>73</v>
      </c>
      <c r="I15" t="s">
        <v>74</v>
      </c>
      <c r="L15" t="s">
        <v>74</v>
      </c>
      <c r="M15" s="2">
        <v>45603</v>
      </c>
      <c r="N15" s="2">
        <v>1</v>
      </c>
      <c r="O15" s="2">
        <v>1</v>
      </c>
      <c r="P15" s="2">
        <v>1</v>
      </c>
      <c r="Q15" t="s">
        <v>75</v>
      </c>
      <c r="R15" t="s">
        <v>76</v>
      </c>
      <c r="S15">
        <v>2</v>
      </c>
      <c r="T15">
        <v>14.996</v>
      </c>
      <c r="U15">
        <v>5.859</v>
      </c>
      <c r="V15">
        <v>15.093999999999999</v>
      </c>
      <c r="X15" t="s">
        <v>77</v>
      </c>
      <c r="Y15" t="s">
        <v>77</v>
      </c>
      <c r="AB15" t="s">
        <v>77</v>
      </c>
      <c r="AC15" s="2">
        <v>45603</v>
      </c>
      <c r="AD15" s="2">
        <v>1</v>
      </c>
      <c r="AE15" s="2">
        <v>1</v>
      </c>
      <c r="AH15" t="s">
        <v>78</v>
      </c>
      <c r="AI15" s="2">
        <v>45602</v>
      </c>
      <c r="AJ15" s="2">
        <v>45611</v>
      </c>
      <c r="AK15" s="2">
        <v>45615</v>
      </c>
      <c r="AL15" s="2">
        <v>45615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BC15" t="s">
        <v>79</v>
      </c>
      <c r="BE15" s="2">
        <v>1</v>
      </c>
      <c r="BF15">
        <v>1</v>
      </c>
      <c r="BG15" t="s">
        <v>80</v>
      </c>
      <c r="BH15" t="s">
        <v>77</v>
      </c>
      <c r="BI15" t="s">
        <v>81</v>
      </c>
      <c r="BJ15" t="s">
        <v>82</v>
      </c>
      <c r="BK15" t="s">
        <v>83</v>
      </c>
      <c r="BL15" t="s">
        <v>83</v>
      </c>
      <c r="BM15" t="s">
        <v>83</v>
      </c>
      <c r="BN15" t="s">
        <v>79</v>
      </c>
      <c r="BO15" t="s">
        <v>36</v>
      </c>
    </row>
    <row r="16" spans="1:70" x14ac:dyDescent="0.25">
      <c r="A16" s="1">
        <v>14</v>
      </c>
      <c r="B16">
        <v>92747</v>
      </c>
      <c r="C16" t="s">
        <v>113</v>
      </c>
      <c r="D16" t="s">
        <v>70</v>
      </c>
      <c r="E16">
        <v>0</v>
      </c>
      <c r="F16" t="s">
        <v>114</v>
      </c>
      <c r="G16" t="s">
        <v>104</v>
      </c>
      <c r="H16" t="s">
        <v>73</v>
      </c>
      <c r="I16" t="s">
        <v>74</v>
      </c>
      <c r="L16" t="s">
        <v>74</v>
      </c>
      <c r="M16" s="2">
        <v>45603</v>
      </c>
      <c r="N16" s="2">
        <v>1</v>
      </c>
      <c r="O16" s="2">
        <v>1</v>
      </c>
      <c r="P16" s="2">
        <v>1</v>
      </c>
      <c r="Q16" t="s">
        <v>75</v>
      </c>
      <c r="R16" t="s">
        <v>76</v>
      </c>
      <c r="S16">
        <v>2</v>
      </c>
      <c r="T16">
        <v>15.381</v>
      </c>
      <c r="U16">
        <v>5.9640000000000004</v>
      </c>
      <c r="V16">
        <v>10.063000000000001</v>
      </c>
      <c r="X16" t="s">
        <v>77</v>
      </c>
      <c r="Y16" t="s">
        <v>77</v>
      </c>
      <c r="AB16" t="s">
        <v>77</v>
      </c>
      <c r="AC16" s="2">
        <v>45603</v>
      </c>
      <c r="AD16" s="2">
        <v>1</v>
      </c>
      <c r="AE16" s="2">
        <v>1</v>
      </c>
      <c r="AH16" t="s">
        <v>78</v>
      </c>
      <c r="AI16" s="2">
        <v>45602</v>
      </c>
      <c r="AJ16" s="2">
        <v>45611</v>
      </c>
      <c r="AK16" s="2">
        <v>45615</v>
      </c>
      <c r="AL16" s="2">
        <v>45615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BC16" t="s">
        <v>79</v>
      </c>
      <c r="BE16" s="2">
        <v>1</v>
      </c>
      <c r="BF16">
        <v>1</v>
      </c>
      <c r="BG16" t="s">
        <v>80</v>
      </c>
      <c r="BH16" t="s">
        <v>77</v>
      </c>
      <c r="BI16" t="s">
        <v>81</v>
      </c>
      <c r="BJ16" t="s">
        <v>82</v>
      </c>
      <c r="BK16" t="s">
        <v>83</v>
      </c>
      <c r="BL16" t="s">
        <v>83</v>
      </c>
      <c r="BM16" t="s">
        <v>83</v>
      </c>
      <c r="BN16" t="s">
        <v>79</v>
      </c>
      <c r="BO16" t="s">
        <v>36</v>
      </c>
    </row>
    <row r="17" spans="1:67" x14ac:dyDescent="0.25">
      <c r="A17" s="1">
        <v>15</v>
      </c>
      <c r="B17">
        <v>92749</v>
      </c>
      <c r="C17" t="s">
        <v>115</v>
      </c>
      <c r="D17" t="s">
        <v>70</v>
      </c>
      <c r="E17">
        <v>0</v>
      </c>
      <c r="F17" t="s">
        <v>116</v>
      </c>
      <c r="G17" t="s">
        <v>117</v>
      </c>
      <c r="H17" t="s">
        <v>73</v>
      </c>
      <c r="I17" t="s">
        <v>74</v>
      </c>
      <c r="L17" t="s">
        <v>74</v>
      </c>
      <c r="M17" s="2">
        <v>45603</v>
      </c>
      <c r="N17" s="2">
        <v>1</v>
      </c>
      <c r="O17" s="2">
        <v>1</v>
      </c>
      <c r="P17" s="2">
        <v>1</v>
      </c>
      <c r="Q17" t="s">
        <v>75</v>
      </c>
      <c r="R17" t="s">
        <v>76</v>
      </c>
      <c r="S17">
        <v>2</v>
      </c>
      <c r="T17">
        <v>58.88</v>
      </c>
      <c r="U17">
        <v>20.625</v>
      </c>
      <c r="V17">
        <v>40.25</v>
      </c>
      <c r="X17" t="s">
        <v>77</v>
      </c>
      <c r="Y17" t="s">
        <v>77</v>
      </c>
      <c r="AB17" t="s">
        <v>77</v>
      </c>
      <c r="AC17" s="2">
        <v>45603</v>
      </c>
      <c r="AD17" s="2">
        <v>1</v>
      </c>
      <c r="AE17" s="2">
        <v>1</v>
      </c>
      <c r="AH17" t="s">
        <v>78</v>
      </c>
      <c r="AI17" s="2">
        <v>45603</v>
      </c>
      <c r="AJ17" s="2">
        <v>45611</v>
      </c>
      <c r="AK17" s="2">
        <v>45615</v>
      </c>
      <c r="AL17" s="2">
        <v>45615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BC17" t="s">
        <v>79</v>
      </c>
      <c r="BE17" s="2">
        <v>1</v>
      </c>
      <c r="BF17">
        <v>1</v>
      </c>
      <c r="BG17" t="s">
        <v>80</v>
      </c>
      <c r="BH17" t="s">
        <v>77</v>
      </c>
      <c r="BI17" t="s">
        <v>81</v>
      </c>
      <c r="BJ17" t="s">
        <v>82</v>
      </c>
      <c r="BK17" t="s">
        <v>83</v>
      </c>
      <c r="BL17" t="s">
        <v>83</v>
      </c>
      <c r="BM17" t="s">
        <v>83</v>
      </c>
      <c r="BN17" t="s">
        <v>79</v>
      </c>
      <c r="BO17" t="s">
        <v>36</v>
      </c>
    </row>
    <row r="18" spans="1:67" x14ac:dyDescent="0.25">
      <c r="A18" s="1">
        <v>16</v>
      </c>
      <c r="B18">
        <v>92750</v>
      </c>
      <c r="C18" t="s">
        <v>118</v>
      </c>
      <c r="D18" t="s">
        <v>70</v>
      </c>
      <c r="E18">
        <v>0</v>
      </c>
      <c r="F18" t="s">
        <v>119</v>
      </c>
      <c r="G18" t="s">
        <v>120</v>
      </c>
      <c r="H18" t="s">
        <v>73</v>
      </c>
      <c r="I18" t="s">
        <v>74</v>
      </c>
      <c r="L18" t="s">
        <v>74</v>
      </c>
      <c r="M18" s="2">
        <v>45603</v>
      </c>
      <c r="N18" s="2">
        <v>1</v>
      </c>
      <c r="O18" s="2">
        <v>1</v>
      </c>
      <c r="P18" s="2">
        <v>1</v>
      </c>
      <c r="Q18" t="s">
        <v>75</v>
      </c>
      <c r="R18" t="s">
        <v>76</v>
      </c>
      <c r="S18">
        <v>2</v>
      </c>
      <c r="T18">
        <v>56.646000000000001</v>
      </c>
      <c r="U18">
        <v>17.5</v>
      </c>
      <c r="V18">
        <v>20.125</v>
      </c>
      <c r="X18" t="s">
        <v>77</v>
      </c>
      <c r="Y18" t="s">
        <v>77</v>
      </c>
      <c r="AB18" t="s">
        <v>77</v>
      </c>
      <c r="AC18" s="2">
        <v>45603</v>
      </c>
      <c r="AD18" s="2">
        <v>1</v>
      </c>
      <c r="AE18" s="2">
        <v>1</v>
      </c>
      <c r="AH18" t="s">
        <v>78</v>
      </c>
      <c r="AI18" s="2">
        <v>45603</v>
      </c>
      <c r="AJ18" s="2">
        <v>45611</v>
      </c>
      <c r="AK18" s="2">
        <v>45615</v>
      </c>
      <c r="AL18" s="2">
        <v>45615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BC18" t="s">
        <v>79</v>
      </c>
      <c r="BE18" s="2">
        <v>1</v>
      </c>
      <c r="BF18">
        <v>1</v>
      </c>
      <c r="BG18" t="s">
        <v>80</v>
      </c>
      <c r="BH18" t="s">
        <v>77</v>
      </c>
      <c r="BI18" t="s">
        <v>81</v>
      </c>
      <c r="BJ18" t="s">
        <v>82</v>
      </c>
      <c r="BK18" t="s">
        <v>83</v>
      </c>
      <c r="BL18" t="s">
        <v>83</v>
      </c>
      <c r="BM18" t="s">
        <v>83</v>
      </c>
      <c r="BN18" t="s">
        <v>79</v>
      </c>
      <c r="BO18" t="s">
        <v>36</v>
      </c>
    </row>
    <row r="19" spans="1:67" x14ac:dyDescent="0.25">
      <c r="A19" s="1">
        <v>17</v>
      </c>
      <c r="B19">
        <v>92751</v>
      </c>
      <c r="C19" t="s">
        <v>121</v>
      </c>
      <c r="D19" t="s">
        <v>70</v>
      </c>
      <c r="E19">
        <v>0</v>
      </c>
      <c r="F19" t="s">
        <v>122</v>
      </c>
      <c r="G19" t="s">
        <v>120</v>
      </c>
      <c r="H19" t="s">
        <v>73</v>
      </c>
      <c r="I19" t="s">
        <v>74</v>
      </c>
      <c r="L19" t="s">
        <v>74</v>
      </c>
      <c r="M19" s="2">
        <v>45603</v>
      </c>
      <c r="N19" s="2">
        <v>1</v>
      </c>
      <c r="O19" s="2">
        <v>1</v>
      </c>
      <c r="P19" s="2">
        <v>1</v>
      </c>
      <c r="Q19" t="s">
        <v>75</v>
      </c>
      <c r="R19" t="s">
        <v>76</v>
      </c>
      <c r="S19">
        <v>2</v>
      </c>
      <c r="T19">
        <v>45.780999999999999</v>
      </c>
      <c r="U19">
        <v>16.719000000000001</v>
      </c>
      <c r="V19">
        <v>35.219000000000001</v>
      </c>
      <c r="X19" t="s">
        <v>77</v>
      </c>
      <c r="Y19" t="s">
        <v>77</v>
      </c>
      <c r="AB19" t="s">
        <v>77</v>
      </c>
      <c r="AC19" s="2">
        <v>45603</v>
      </c>
      <c r="AD19" s="2">
        <v>1</v>
      </c>
      <c r="AE19" s="2">
        <v>1</v>
      </c>
      <c r="AH19" t="s">
        <v>78</v>
      </c>
      <c r="AI19" s="2">
        <v>45603</v>
      </c>
      <c r="AJ19" s="2">
        <v>45611</v>
      </c>
      <c r="AK19" s="2">
        <v>45615</v>
      </c>
      <c r="AL19" s="2">
        <v>45615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BC19" t="s">
        <v>79</v>
      </c>
      <c r="BE19" s="2">
        <v>1</v>
      </c>
      <c r="BF19">
        <v>1</v>
      </c>
      <c r="BG19" t="s">
        <v>80</v>
      </c>
      <c r="BH19" t="s">
        <v>77</v>
      </c>
      <c r="BI19" t="s">
        <v>81</v>
      </c>
      <c r="BJ19" t="s">
        <v>82</v>
      </c>
      <c r="BK19" t="s">
        <v>83</v>
      </c>
      <c r="BL19" t="s">
        <v>83</v>
      </c>
      <c r="BM19" t="s">
        <v>83</v>
      </c>
      <c r="BN19" t="s">
        <v>79</v>
      </c>
      <c r="BO19" t="s">
        <v>36</v>
      </c>
    </row>
    <row r="20" spans="1:67" x14ac:dyDescent="0.25">
      <c r="A20" s="1">
        <v>18</v>
      </c>
      <c r="B20">
        <v>92752</v>
      </c>
      <c r="C20" t="s">
        <v>123</v>
      </c>
      <c r="D20" t="s">
        <v>70</v>
      </c>
      <c r="E20">
        <v>0</v>
      </c>
      <c r="F20" t="s">
        <v>124</v>
      </c>
      <c r="G20" t="s">
        <v>125</v>
      </c>
      <c r="H20" t="s">
        <v>73</v>
      </c>
      <c r="I20" t="s">
        <v>74</v>
      </c>
      <c r="L20" t="s">
        <v>74</v>
      </c>
      <c r="M20" s="2">
        <v>45603</v>
      </c>
      <c r="N20" s="2">
        <v>1</v>
      </c>
      <c r="O20" s="2">
        <v>1</v>
      </c>
      <c r="P20" s="2">
        <v>1</v>
      </c>
      <c r="Q20" t="s">
        <v>75</v>
      </c>
      <c r="R20" t="s">
        <v>76</v>
      </c>
      <c r="S20">
        <v>2</v>
      </c>
      <c r="T20">
        <v>62.106999999999999</v>
      </c>
      <c r="U20">
        <v>20.12</v>
      </c>
      <c r="V20">
        <v>20.125</v>
      </c>
      <c r="X20" t="s">
        <v>77</v>
      </c>
      <c r="Y20" t="s">
        <v>77</v>
      </c>
      <c r="AB20" t="s">
        <v>77</v>
      </c>
      <c r="AC20" s="2">
        <v>45603</v>
      </c>
      <c r="AD20" s="2">
        <v>1</v>
      </c>
      <c r="AE20" s="2">
        <v>1</v>
      </c>
      <c r="AH20" t="s">
        <v>78</v>
      </c>
      <c r="AI20" s="2">
        <v>45603</v>
      </c>
      <c r="AJ20" s="2">
        <v>45611</v>
      </c>
      <c r="AK20" s="2">
        <v>45615</v>
      </c>
      <c r="AL20" s="2">
        <v>45615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BC20" t="s">
        <v>79</v>
      </c>
      <c r="BE20" s="2">
        <v>1</v>
      </c>
      <c r="BF20">
        <v>1</v>
      </c>
      <c r="BG20" t="s">
        <v>80</v>
      </c>
      <c r="BH20" t="s">
        <v>77</v>
      </c>
      <c r="BI20" t="s">
        <v>81</v>
      </c>
      <c r="BJ20" t="s">
        <v>82</v>
      </c>
      <c r="BK20" t="s">
        <v>83</v>
      </c>
      <c r="BL20" t="s">
        <v>83</v>
      </c>
      <c r="BM20" t="s">
        <v>83</v>
      </c>
      <c r="BN20" t="s">
        <v>79</v>
      </c>
      <c r="BO20" t="s">
        <v>36</v>
      </c>
    </row>
    <row r="21" spans="1:67" x14ac:dyDescent="0.25">
      <c r="A21" s="1">
        <v>19</v>
      </c>
      <c r="B21">
        <v>92754</v>
      </c>
      <c r="C21" t="s">
        <v>126</v>
      </c>
      <c r="D21" t="s">
        <v>70</v>
      </c>
      <c r="E21">
        <v>0</v>
      </c>
      <c r="F21" t="s">
        <v>127</v>
      </c>
      <c r="G21" t="s">
        <v>125</v>
      </c>
      <c r="H21" t="s">
        <v>73</v>
      </c>
      <c r="I21" t="s">
        <v>74</v>
      </c>
      <c r="L21" t="s">
        <v>74</v>
      </c>
      <c r="M21" s="2">
        <v>45603</v>
      </c>
      <c r="N21" s="2">
        <v>1</v>
      </c>
      <c r="O21" s="2">
        <v>1</v>
      </c>
      <c r="P21" s="2">
        <v>1</v>
      </c>
      <c r="Q21" t="s">
        <v>75</v>
      </c>
      <c r="R21" t="s">
        <v>76</v>
      </c>
      <c r="S21">
        <v>2</v>
      </c>
      <c r="T21">
        <v>16.207999999999998</v>
      </c>
      <c r="U21">
        <v>6.1879999999999997</v>
      </c>
      <c r="V21">
        <v>15.093999999999999</v>
      </c>
      <c r="X21" t="s">
        <v>77</v>
      </c>
      <c r="Y21" t="s">
        <v>77</v>
      </c>
      <c r="AB21" t="s">
        <v>77</v>
      </c>
      <c r="AC21" s="2">
        <v>45603</v>
      </c>
      <c r="AD21" s="2">
        <v>1</v>
      </c>
      <c r="AE21" s="2">
        <v>1</v>
      </c>
      <c r="AH21" t="s">
        <v>78</v>
      </c>
      <c r="AI21" s="2">
        <v>45603</v>
      </c>
      <c r="AJ21" s="2">
        <v>45611</v>
      </c>
      <c r="AK21" s="2">
        <v>45615</v>
      </c>
      <c r="AL21" s="2">
        <v>45615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BC21" t="s">
        <v>79</v>
      </c>
      <c r="BE21" s="2">
        <v>1</v>
      </c>
      <c r="BF21">
        <v>1</v>
      </c>
      <c r="BG21" t="s">
        <v>80</v>
      </c>
      <c r="BH21" t="s">
        <v>77</v>
      </c>
      <c r="BI21" t="s">
        <v>81</v>
      </c>
      <c r="BJ21" t="s">
        <v>82</v>
      </c>
      <c r="BK21" t="s">
        <v>83</v>
      </c>
      <c r="BL21" t="s">
        <v>83</v>
      </c>
      <c r="BM21" t="s">
        <v>83</v>
      </c>
      <c r="BN21" t="s">
        <v>79</v>
      </c>
      <c r="BO21" t="s">
        <v>36</v>
      </c>
    </row>
    <row r="22" spans="1:67" x14ac:dyDescent="0.25">
      <c r="A22" s="1">
        <v>20</v>
      </c>
      <c r="B22">
        <v>92755</v>
      </c>
      <c r="C22" t="s">
        <v>128</v>
      </c>
      <c r="D22" t="s">
        <v>70</v>
      </c>
      <c r="E22">
        <v>0</v>
      </c>
      <c r="F22" t="s">
        <v>129</v>
      </c>
      <c r="G22" t="s">
        <v>125</v>
      </c>
      <c r="H22" t="s">
        <v>73</v>
      </c>
      <c r="I22" t="s">
        <v>74</v>
      </c>
      <c r="L22" t="s">
        <v>74</v>
      </c>
      <c r="M22" s="2">
        <v>45603</v>
      </c>
      <c r="N22" s="2">
        <v>1</v>
      </c>
      <c r="O22" s="2">
        <v>1</v>
      </c>
      <c r="P22" s="2">
        <v>1</v>
      </c>
      <c r="Q22" t="s">
        <v>75</v>
      </c>
      <c r="R22" t="s">
        <v>76</v>
      </c>
      <c r="S22">
        <v>2</v>
      </c>
      <c r="T22">
        <v>16.265999999999998</v>
      </c>
      <c r="U22">
        <v>6.2030000000000003</v>
      </c>
      <c r="V22">
        <v>15.093999999999999</v>
      </c>
      <c r="X22" t="s">
        <v>77</v>
      </c>
      <c r="Y22" t="s">
        <v>77</v>
      </c>
      <c r="AB22" t="s">
        <v>77</v>
      </c>
      <c r="AC22" s="2">
        <v>45603</v>
      </c>
      <c r="AD22" s="2">
        <v>1</v>
      </c>
      <c r="AE22" s="2">
        <v>1</v>
      </c>
      <c r="AH22" t="s">
        <v>78</v>
      </c>
      <c r="AI22" s="2">
        <v>45603</v>
      </c>
      <c r="AJ22" s="2">
        <v>45611</v>
      </c>
      <c r="AK22" s="2">
        <v>45615</v>
      </c>
      <c r="AL22" s="2">
        <v>45615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BC22" t="s">
        <v>79</v>
      </c>
      <c r="BE22" s="2">
        <v>1</v>
      </c>
      <c r="BF22">
        <v>1</v>
      </c>
      <c r="BG22" t="s">
        <v>80</v>
      </c>
      <c r="BH22" t="s">
        <v>77</v>
      </c>
      <c r="BI22" t="s">
        <v>81</v>
      </c>
      <c r="BJ22" t="s">
        <v>82</v>
      </c>
      <c r="BK22" t="s">
        <v>83</v>
      </c>
      <c r="BL22" t="s">
        <v>83</v>
      </c>
      <c r="BM22" t="s">
        <v>83</v>
      </c>
      <c r="BN22" t="s">
        <v>79</v>
      </c>
      <c r="BO22" t="s">
        <v>36</v>
      </c>
    </row>
    <row r="23" spans="1:67" x14ac:dyDescent="0.25">
      <c r="A23" s="1">
        <v>21</v>
      </c>
      <c r="B23">
        <v>92761</v>
      </c>
      <c r="C23" t="s">
        <v>130</v>
      </c>
      <c r="D23" t="s">
        <v>70</v>
      </c>
      <c r="E23">
        <v>0</v>
      </c>
      <c r="F23" t="s">
        <v>131</v>
      </c>
      <c r="G23" t="s">
        <v>132</v>
      </c>
      <c r="H23" t="s">
        <v>73</v>
      </c>
      <c r="I23" t="s">
        <v>74</v>
      </c>
      <c r="L23" t="s">
        <v>74</v>
      </c>
      <c r="M23" s="2">
        <v>45603</v>
      </c>
      <c r="N23" s="2">
        <v>1</v>
      </c>
      <c r="O23" s="2">
        <v>1</v>
      </c>
      <c r="P23" s="2">
        <v>1</v>
      </c>
      <c r="Q23" t="s">
        <v>75</v>
      </c>
      <c r="R23" t="s">
        <v>76</v>
      </c>
      <c r="S23">
        <v>2</v>
      </c>
      <c r="T23">
        <v>84.652000000000001</v>
      </c>
      <c r="U23">
        <v>28.745000000000001</v>
      </c>
      <c r="V23">
        <v>45.280999999999999</v>
      </c>
      <c r="X23" t="s">
        <v>77</v>
      </c>
      <c r="Y23" t="s">
        <v>77</v>
      </c>
      <c r="AB23" t="s">
        <v>77</v>
      </c>
      <c r="AC23" s="2">
        <v>45603</v>
      </c>
      <c r="AD23" s="2">
        <v>1</v>
      </c>
      <c r="AE23" s="2">
        <v>1</v>
      </c>
      <c r="AH23" t="s">
        <v>78</v>
      </c>
      <c r="AI23" s="2">
        <v>45603</v>
      </c>
      <c r="AJ23" s="2">
        <v>45614</v>
      </c>
      <c r="AK23" s="2">
        <v>45615</v>
      </c>
      <c r="AL23" s="2">
        <v>45615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BC23" t="s">
        <v>79</v>
      </c>
      <c r="BE23" s="2">
        <v>1</v>
      </c>
      <c r="BF23">
        <v>1</v>
      </c>
      <c r="BG23" t="s">
        <v>80</v>
      </c>
      <c r="BH23" t="s">
        <v>77</v>
      </c>
      <c r="BI23" t="s">
        <v>81</v>
      </c>
      <c r="BJ23" t="s">
        <v>82</v>
      </c>
      <c r="BK23" t="s">
        <v>83</v>
      </c>
      <c r="BL23" t="s">
        <v>83</v>
      </c>
      <c r="BM23" t="s">
        <v>83</v>
      </c>
      <c r="BN23" t="s">
        <v>79</v>
      </c>
      <c r="BO23" t="s">
        <v>36</v>
      </c>
    </row>
    <row r="24" spans="1:67" x14ac:dyDescent="0.25">
      <c r="A24" s="1">
        <v>22</v>
      </c>
      <c r="B24">
        <v>92762</v>
      </c>
      <c r="C24" t="s">
        <v>133</v>
      </c>
      <c r="D24" t="s">
        <v>70</v>
      </c>
      <c r="E24">
        <v>0</v>
      </c>
      <c r="F24" t="s">
        <v>134</v>
      </c>
      <c r="G24" t="s">
        <v>135</v>
      </c>
      <c r="H24" t="s">
        <v>73</v>
      </c>
      <c r="I24" t="s">
        <v>74</v>
      </c>
      <c r="L24" t="s">
        <v>74</v>
      </c>
      <c r="M24" s="2">
        <v>45603</v>
      </c>
      <c r="N24" s="2">
        <v>1</v>
      </c>
      <c r="O24" s="2">
        <v>1</v>
      </c>
      <c r="P24" s="2">
        <v>1</v>
      </c>
      <c r="Q24" t="s">
        <v>75</v>
      </c>
      <c r="R24" t="s">
        <v>76</v>
      </c>
      <c r="S24">
        <v>2</v>
      </c>
      <c r="T24">
        <v>15.535</v>
      </c>
      <c r="U24">
        <v>6.0049999999999999</v>
      </c>
      <c r="V24">
        <v>15.093999999999999</v>
      </c>
      <c r="X24" t="s">
        <v>77</v>
      </c>
      <c r="Y24" t="s">
        <v>77</v>
      </c>
      <c r="AB24" t="s">
        <v>77</v>
      </c>
      <c r="AC24" s="2">
        <v>45603</v>
      </c>
      <c r="AD24" s="2">
        <v>1</v>
      </c>
      <c r="AE24" s="2">
        <v>1</v>
      </c>
      <c r="AH24" t="s">
        <v>78</v>
      </c>
      <c r="AI24" s="2">
        <v>45603</v>
      </c>
      <c r="AJ24" s="2">
        <v>45614</v>
      </c>
      <c r="AK24" s="2">
        <v>45615</v>
      </c>
      <c r="AL24" s="2">
        <v>45615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BC24" t="s">
        <v>79</v>
      </c>
      <c r="BE24" s="2">
        <v>1</v>
      </c>
      <c r="BF24">
        <v>1</v>
      </c>
      <c r="BG24" t="s">
        <v>80</v>
      </c>
      <c r="BH24" t="s">
        <v>77</v>
      </c>
      <c r="BI24" t="s">
        <v>81</v>
      </c>
      <c r="BJ24" t="s">
        <v>82</v>
      </c>
      <c r="BK24" t="s">
        <v>83</v>
      </c>
      <c r="BL24" t="s">
        <v>83</v>
      </c>
      <c r="BM24" t="s">
        <v>83</v>
      </c>
      <c r="BN24" t="s">
        <v>79</v>
      </c>
      <c r="BO24" t="s">
        <v>36</v>
      </c>
    </row>
    <row r="25" spans="1:67" x14ac:dyDescent="0.25">
      <c r="A25" s="1">
        <v>23</v>
      </c>
      <c r="B25">
        <v>92764</v>
      </c>
      <c r="C25" t="s">
        <v>136</v>
      </c>
      <c r="D25" t="s">
        <v>70</v>
      </c>
      <c r="E25">
        <v>0</v>
      </c>
      <c r="F25" t="s">
        <v>137</v>
      </c>
      <c r="G25" t="s">
        <v>138</v>
      </c>
      <c r="H25" t="s">
        <v>73</v>
      </c>
      <c r="I25" t="s">
        <v>74</v>
      </c>
      <c r="L25" t="s">
        <v>74</v>
      </c>
      <c r="M25" s="2">
        <v>45603</v>
      </c>
      <c r="N25" s="2">
        <v>1</v>
      </c>
      <c r="O25" s="2">
        <v>1</v>
      </c>
      <c r="P25" s="2">
        <v>1</v>
      </c>
      <c r="Q25" t="s">
        <v>75</v>
      </c>
      <c r="R25" t="s">
        <v>76</v>
      </c>
      <c r="S25">
        <v>2</v>
      </c>
      <c r="T25">
        <v>39.546999999999997</v>
      </c>
      <c r="U25">
        <v>12.87</v>
      </c>
      <c r="V25">
        <v>15.093999999999999</v>
      </c>
      <c r="X25" t="s">
        <v>77</v>
      </c>
      <c r="Y25" t="s">
        <v>77</v>
      </c>
      <c r="AB25" t="s">
        <v>77</v>
      </c>
      <c r="AC25" s="2">
        <v>45603</v>
      </c>
      <c r="AD25" s="2">
        <v>1</v>
      </c>
      <c r="AE25" s="2">
        <v>1</v>
      </c>
      <c r="AH25" t="s">
        <v>78</v>
      </c>
      <c r="AI25" s="2">
        <v>45603</v>
      </c>
      <c r="AJ25" s="2">
        <v>45614</v>
      </c>
      <c r="AK25" s="2">
        <v>45615</v>
      </c>
      <c r="AL25" s="2">
        <v>45615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BC25" t="s">
        <v>79</v>
      </c>
      <c r="BE25" s="2">
        <v>1</v>
      </c>
      <c r="BF25">
        <v>1</v>
      </c>
      <c r="BG25" t="s">
        <v>80</v>
      </c>
      <c r="BH25" t="s">
        <v>77</v>
      </c>
      <c r="BI25" t="s">
        <v>81</v>
      </c>
      <c r="BJ25" t="s">
        <v>82</v>
      </c>
      <c r="BK25" t="s">
        <v>83</v>
      </c>
      <c r="BL25" t="s">
        <v>83</v>
      </c>
      <c r="BM25" t="s">
        <v>83</v>
      </c>
      <c r="BN25" t="s">
        <v>79</v>
      </c>
      <c r="BO25" t="s">
        <v>36</v>
      </c>
    </row>
    <row r="26" spans="1:67" x14ac:dyDescent="0.25">
      <c r="A26" s="1">
        <v>24</v>
      </c>
      <c r="B26">
        <v>92765</v>
      </c>
      <c r="C26" t="s">
        <v>139</v>
      </c>
      <c r="D26" t="s">
        <v>70</v>
      </c>
      <c r="E26">
        <v>0</v>
      </c>
      <c r="F26" t="s">
        <v>140</v>
      </c>
      <c r="G26" t="s">
        <v>138</v>
      </c>
      <c r="H26" t="s">
        <v>73</v>
      </c>
      <c r="I26" t="s">
        <v>74</v>
      </c>
      <c r="L26" t="s">
        <v>74</v>
      </c>
      <c r="M26" s="2">
        <v>45603</v>
      </c>
      <c r="N26" s="2">
        <v>1</v>
      </c>
      <c r="O26" s="2">
        <v>1</v>
      </c>
      <c r="P26" s="2">
        <v>1</v>
      </c>
      <c r="Q26" t="s">
        <v>75</v>
      </c>
      <c r="R26" t="s">
        <v>76</v>
      </c>
      <c r="S26">
        <v>2</v>
      </c>
      <c r="T26">
        <v>40.944000000000003</v>
      </c>
      <c r="U26">
        <v>14.688000000000001</v>
      </c>
      <c r="V26">
        <v>35.219000000000001</v>
      </c>
      <c r="X26" t="s">
        <v>77</v>
      </c>
      <c r="Y26" t="s">
        <v>77</v>
      </c>
      <c r="AB26" t="s">
        <v>77</v>
      </c>
      <c r="AC26" s="2">
        <v>45603</v>
      </c>
      <c r="AD26" s="2">
        <v>1</v>
      </c>
      <c r="AE26" s="2">
        <v>1</v>
      </c>
      <c r="AH26" t="s">
        <v>78</v>
      </c>
      <c r="AI26" s="2">
        <v>45603</v>
      </c>
      <c r="AJ26" s="2">
        <v>45614</v>
      </c>
      <c r="AK26" s="2">
        <v>45615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U26" s="2">
        <v>1</v>
      </c>
      <c r="AV26" s="2">
        <v>1</v>
      </c>
      <c r="AW26" s="2">
        <v>1</v>
      </c>
      <c r="AX26" s="2">
        <v>1</v>
      </c>
      <c r="BC26" t="s">
        <v>79</v>
      </c>
      <c r="BE26" s="2">
        <v>1</v>
      </c>
      <c r="BF26">
        <v>1</v>
      </c>
      <c r="BG26" t="s">
        <v>80</v>
      </c>
      <c r="BH26" t="s">
        <v>77</v>
      </c>
      <c r="BI26" t="s">
        <v>81</v>
      </c>
      <c r="BJ26" t="s">
        <v>82</v>
      </c>
      <c r="BK26" t="s">
        <v>83</v>
      </c>
      <c r="BL26" t="s">
        <v>83</v>
      </c>
      <c r="BM26" t="s">
        <v>83</v>
      </c>
      <c r="BO26" t="s">
        <v>35</v>
      </c>
    </row>
    <row r="27" spans="1:67" x14ac:dyDescent="0.25">
      <c r="A27" s="1">
        <v>25</v>
      </c>
      <c r="B27">
        <v>92766</v>
      </c>
      <c r="C27" t="s">
        <v>141</v>
      </c>
      <c r="D27" t="s">
        <v>70</v>
      </c>
      <c r="E27">
        <v>0</v>
      </c>
      <c r="F27" t="s">
        <v>142</v>
      </c>
      <c r="G27" t="s">
        <v>143</v>
      </c>
      <c r="H27" t="s">
        <v>73</v>
      </c>
      <c r="I27" t="s">
        <v>74</v>
      </c>
      <c r="L27" t="s">
        <v>74</v>
      </c>
      <c r="M27" s="2">
        <v>45603</v>
      </c>
      <c r="N27" s="2">
        <v>1</v>
      </c>
      <c r="O27" s="2">
        <v>1</v>
      </c>
      <c r="P27" s="2">
        <v>1</v>
      </c>
      <c r="Q27" t="s">
        <v>75</v>
      </c>
      <c r="R27" t="s">
        <v>76</v>
      </c>
      <c r="S27">
        <v>2</v>
      </c>
      <c r="T27">
        <v>19.920000000000002</v>
      </c>
      <c r="U27">
        <v>7.1929999999999996</v>
      </c>
      <c r="V27">
        <v>10.063000000000001</v>
      </c>
      <c r="X27" t="s">
        <v>77</v>
      </c>
      <c r="Y27" t="s">
        <v>77</v>
      </c>
      <c r="AB27" t="s">
        <v>77</v>
      </c>
      <c r="AC27" s="2">
        <v>45603</v>
      </c>
      <c r="AD27" s="2">
        <v>1</v>
      </c>
      <c r="AE27" s="2">
        <v>1</v>
      </c>
      <c r="AH27" t="s">
        <v>78</v>
      </c>
      <c r="AI27" s="2">
        <v>45603</v>
      </c>
      <c r="AJ27" s="2">
        <v>45614</v>
      </c>
      <c r="AK27" s="2">
        <v>45615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U27" s="2">
        <v>1</v>
      </c>
      <c r="AV27" s="2">
        <v>1</v>
      </c>
      <c r="AW27" s="2">
        <v>1</v>
      </c>
      <c r="AX27" s="2">
        <v>1</v>
      </c>
      <c r="BC27" t="s">
        <v>79</v>
      </c>
      <c r="BE27" s="2">
        <v>1</v>
      </c>
      <c r="BF27">
        <v>1</v>
      </c>
      <c r="BG27" t="s">
        <v>80</v>
      </c>
      <c r="BH27" t="s">
        <v>77</v>
      </c>
      <c r="BI27" t="s">
        <v>81</v>
      </c>
      <c r="BJ27" t="s">
        <v>82</v>
      </c>
      <c r="BK27" t="s">
        <v>83</v>
      </c>
      <c r="BL27" t="s">
        <v>83</v>
      </c>
      <c r="BM27" t="s">
        <v>83</v>
      </c>
      <c r="BO27" t="s">
        <v>35</v>
      </c>
    </row>
    <row r="28" spans="1:67" x14ac:dyDescent="0.25">
      <c r="A28" s="1">
        <v>26</v>
      </c>
      <c r="B28">
        <v>92767</v>
      </c>
      <c r="C28" t="s">
        <v>144</v>
      </c>
      <c r="D28" t="s">
        <v>70</v>
      </c>
      <c r="E28">
        <v>0</v>
      </c>
      <c r="F28" t="s">
        <v>145</v>
      </c>
      <c r="G28" t="s">
        <v>143</v>
      </c>
      <c r="H28" t="s">
        <v>73</v>
      </c>
      <c r="I28" t="s">
        <v>74</v>
      </c>
      <c r="L28" t="s">
        <v>74</v>
      </c>
      <c r="M28" s="2">
        <v>45603</v>
      </c>
      <c r="N28" s="2">
        <v>1</v>
      </c>
      <c r="O28" s="2">
        <v>1</v>
      </c>
      <c r="P28" s="2">
        <v>1</v>
      </c>
      <c r="Q28" t="s">
        <v>75</v>
      </c>
      <c r="R28" t="s">
        <v>76</v>
      </c>
      <c r="S28">
        <v>2</v>
      </c>
      <c r="T28">
        <v>62.15</v>
      </c>
      <c r="U28">
        <v>21.51</v>
      </c>
      <c r="V28">
        <v>35.219000000000001</v>
      </c>
      <c r="X28" t="s">
        <v>77</v>
      </c>
      <c r="Y28" t="s">
        <v>77</v>
      </c>
      <c r="AB28" t="s">
        <v>77</v>
      </c>
      <c r="AC28" s="2">
        <v>45603</v>
      </c>
      <c r="AD28" s="2">
        <v>1</v>
      </c>
      <c r="AE28" s="2">
        <v>1</v>
      </c>
      <c r="AH28" t="s">
        <v>78</v>
      </c>
      <c r="AI28" s="2">
        <v>45603</v>
      </c>
      <c r="AJ28" s="2">
        <v>45614</v>
      </c>
      <c r="AK28" s="2">
        <v>45615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U28" s="2">
        <v>1</v>
      </c>
      <c r="AV28" s="2">
        <v>1</v>
      </c>
      <c r="AW28" s="2">
        <v>1</v>
      </c>
      <c r="AX28" s="2">
        <v>1</v>
      </c>
      <c r="BC28" t="s">
        <v>79</v>
      </c>
      <c r="BE28" s="2">
        <v>1</v>
      </c>
      <c r="BF28">
        <v>1</v>
      </c>
      <c r="BG28" t="s">
        <v>80</v>
      </c>
      <c r="BH28" t="s">
        <v>77</v>
      </c>
      <c r="BI28" t="s">
        <v>81</v>
      </c>
      <c r="BJ28" t="s">
        <v>82</v>
      </c>
      <c r="BK28" t="s">
        <v>83</v>
      </c>
      <c r="BL28" t="s">
        <v>83</v>
      </c>
      <c r="BM28" t="s">
        <v>83</v>
      </c>
      <c r="BO28" t="s">
        <v>35</v>
      </c>
    </row>
    <row r="29" spans="1:67" x14ac:dyDescent="0.25">
      <c r="A29" s="1">
        <v>27</v>
      </c>
      <c r="B29">
        <v>92768</v>
      </c>
      <c r="C29" t="s">
        <v>146</v>
      </c>
      <c r="D29" t="s">
        <v>70</v>
      </c>
      <c r="E29">
        <v>0</v>
      </c>
      <c r="F29" t="s">
        <v>147</v>
      </c>
      <c r="G29" t="s">
        <v>148</v>
      </c>
      <c r="H29" t="s">
        <v>73</v>
      </c>
      <c r="I29" t="s">
        <v>74</v>
      </c>
      <c r="L29" t="s">
        <v>74</v>
      </c>
      <c r="M29" s="2">
        <v>45603</v>
      </c>
      <c r="N29" s="2">
        <v>1</v>
      </c>
      <c r="O29" s="2">
        <v>1</v>
      </c>
      <c r="P29" s="2">
        <v>1</v>
      </c>
      <c r="Q29" t="s">
        <v>75</v>
      </c>
      <c r="R29" t="s">
        <v>76</v>
      </c>
      <c r="S29">
        <v>2</v>
      </c>
      <c r="T29">
        <v>41.491</v>
      </c>
      <c r="U29">
        <v>13.755000000000001</v>
      </c>
      <c r="V29">
        <v>25.155999999999999</v>
      </c>
      <c r="X29" t="s">
        <v>77</v>
      </c>
      <c r="Y29" t="s">
        <v>77</v>
      </c>
      <c r="AB29" t="s">
        <v>77</v>
      </c>
      <c r="AC29" s="2">
        <v>45603</v>
      </c>
      <c r="AD29" s="2">
        <v>1</v>
      </c>
      <c r="AE29" s="2">
        <v>1</v>
      </c>
      <c r="AH29" t="s">
        <v>78</v>
      </c>
      <c r="AI29" s="2">
        <v>45603</v>
      </c>
      <c r="AJ29" s="2">
        <v>45614</v>
      </c>
      <c r="AK29" s="2">
        <v>45615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U29" s="2">
        <v>1</v>
      </c>
      <c r="AV29" s="2">
        <v>1</v>
      </c>
      <c r="AW29" s="2">
        <v>1</v>
      </c>
      <c r="AX29" s="2">
        <v>1</v>
      </c>
      <c r="BC29" t="s">
        <v>79</v>
      </c>
      <c r="BE29" s="2">
        <v>1</v>
      </c>
      <c r="BF29">
        <v>1</v>
      </c>
      <c r="BG29" t="s">
        <v>80</v>
      </c>
      <c r="BH29" t="s">
        <v>77</v>
      </c>
      <c r="BI29" t="s">
        <v>81</v>
      </c>
      <c r="BJ29" t="s">
        <v>82</v>
      </c>
      <c r="BK29" t="s">
        <v>83</v>
      </c>
      <c r="BL29" t="s">
        <v>83</v>
      </c>
      <c r="BM29" t="s">
        <v>83</v>
      </c>
      <c r="BO29" t="s">
        <v>35</v>
      </c>
    </row>
    <row r="30" spans="1:67" x14ac:dyDescent="0.25">
      <c r="A30" s="1">
        <v>28</v>
      </c>
      <c r="B30">
        <v>92773</v>
      </c>
      <c r="C30" t="s">
        <v>149</v>
      </c>
      <c r="D30" t="s">
        <v>70</v>
      </c>
      <c r="E30">
        <v>0</v>
      </c>
      <c r="F30" t="s">
        <v>150</v>
      </c>
      <c r="G30" t="s">
        <v>151</v>
      </c>
      <c r="H30" t="s">
        <v>73</v>
      </c>
      <c r="I30" t="s">
        <v>74</v>
      </c>
      <c r="L30" t="s">
        <v>74</v>
      </c>
      <c r="M30" s="2">
        <v>45603</v>
      </c>
      <c r="N30" s="2">
        <v>1</v>
      </c>
      <c r="O30" s="2">
        <v>1</v>
      </c>
      <c r="P30" s="2">
        <v>1</v>
      </c>
      <c r="Q30" t="s">
        <v>75</v>
      </c>
      <c r="R30" t="s">
        <v>76</v>
      </c>
      <c r="S30">
        <v>2</v>
      </c>
      <c r="T30">
        <v>53.405999999999999</v>
      </c>
      <c r="U30">
        <v>17.702999999999999</v>
      </c>
      <c r="V30">
        <v>15.093999999999999</v>
      </c>
      <c r="X30" t="s">
        <v>77</v>
      </c>
      <c r="Y30" t="s">
        <v>77</v>
      </c>
      <c r="AB30" t="s">
        <v>77</v>
      </c>
      <c r="AC30" s="2">
        <v>45603</v>
      </c>
      <c r="AD30" s="2">
        <v>1</v>
      </c>
      <c r="AE30" s="2">
        <v>1</v>
      </c>
      <c r="AH30" t="s">
        <v>78</v>
      </c>
      <c r="AI30" s="2">
        <v>45603</v>
      </c>
      <c r="AJ30" s="2">
        <v>45614</v>
      </c>
      <c r="AK30" s="2">
        <v>45615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U30" s="2">
        <v>1</v>
      </c>
      <c r="AV30" s="2">
        <v>1</v>
      </c>
      <c r="AW30" s="2">
        <v>1</v>
      </c>
      <c r="AX30" s="2">
        <v>1</v>
      </c>
      <c r="BC30" t="s">
        <v>79</v>
      </c>
      <c r="BE30" s="2">
        <v>1</v>
      </c>
      <c r="BF30">
        <v>1</v>
      </c>
      <c r="BG30" t="s">
        <v>80</v>
      </c>
      <c r="BH30" t="s">
        <v>77</v>
      </c>
      <c r="BI30" t="s">
        <v>81</v>
      </c>
      <c r="BJ30" t="s">
        <v>82</v>
      </c>
      <c r="BK30" t="s">
        <v>83</v>
      </c>
      <c r="BL30" t="s">
        <v>83</v>
      </c>
      <c r="BM30" t="s">
        <v>83</v>
      </c>
      <c r="BO30" t="s">
        <v>35</v>
      </c>
    </row>
    <row r="31" spans="1:67" x14ac:dyDescent="0.25">
      <c r="A31" s="1">
        <v>29</v>
      </c>
      <c r="B31">
        <v>92774</v>
      </c>
      <c r="C31" t="s">
        <v>152</v>
      </c>
      <c r="D31" t="s">
        <v>70</v>
      </c>
      <c r="E31">
        <v>0</v>
      </c>
      <c r="F31" t="s">
        <v>153</v>
      </c>
      <c r="G31" t="s">
        <v>151</v>
      </c>
      <c r="H31" t="s">
        <v>73</v>
      </c>
      <c r="I31" t="s">
        <v>74</v>
      </c>
      <c r="L31" t="s">
        <v>74</v>
      </c>
      <c r="M31" s="2">
        <v>45603</v>
      </c>
      <c r="N31" s="2">
        <v>1</v>
      </c>
      <c r="O31" s="2">
        <v>1</v>
      </c>
      <c r="P31" s="2">
        <v>1</v>
      </c>
      <c r="Q31" t="s">
        <v>75</v>
      </c>
      <c r="R31" t="s">
        <v>76</v>
      </c>
      <c r="S31">
        <v>2</v>
      </c>
      <c r="T31">
        <v>77.13</v>
      </c>
      <c r="U31">
        <v>23.047000000000001</v>
      </c>
      <c r="V31">
        <v>15.093999999999999</v>
      </c>
      <c r="X31" t="s">
        <v>77</v>
      </c>
      <c r="Y31" t="s">
        <v>77</v>
      </c>
      <c r="AB31" t="s">
        <v>77</v>
      </c>
      <c r="AC31" s="2">
        <v>45603</v>
      </c>
      <c r="AD31" s="2">
        <v>1</v>
      </c>
      <c r="AE31" s="2">
        <v>1</v>
      </c>
      <c r="AH31" t="s">
        <v>78</v>
      </c>
      <c r="AI31" s="2">
        <v>45603</v>
      </c>
      <c r="AJ31" s="2">
        <v>45614</v>
      </c>
      <c r="AK31" s="2">
        <v>45615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U31" s="2">
        <v>1</v>
      </c>
      <c r="AV31" s="2">
        <v>1</v>
      </c>
      <c r="AW31" s="2">
        <v>1</v>
      </c>
      <c r="AX31" s="2">
        <v>1</v>
      </c>
      <c r="BC31" t="s">
        <v>79</v>
      </c>
      <c r="BE31" s="2">
        <v>1</v>
      </c>
      <c r="BF31">
        <v>1</v>
      </c>
      <c r="BG31" t="s">
        <v>80</v>
      </c>
      <c r="BH31" t="s">
        <v>77</v>
      </c>
      <c r="BI31" t="s">
        <v>81</v>
      </c>
      <c r="BJ31" t="s">
        <v>82</v>
      </c>
      <c r="BK31" t="s">
        <v>83</v>
      </c>
      <c r="BL31" t="s">
        <v>83</v>
      </c>
      <c r="BM31" t="s">
        <v>83</v>
      </c>
      <c r="BO31" t="s">
        <v>35</v>
      </c>
    </row>
    <row r="32" spans="1:67" x14ac:dyDescent="0.25">
      <c r="A32" s="1">
        <v>30</v>
      </c>
      <c r="B32">
        <v>92775</v>
      </c>
      <c r="C32" t="s">
        <v>154</v>
      </c>
      <c r="D32" t="s">
        <v>70</v>
      </c>
      <c r="E32">
        <v>0</v>
      </c>
      <c r="F32" t="s">
        <v>155</v>
      </c>
      <c r="G32" t="s">
        <v>151</v>
      </c>
      <c r="H32" t="s">
        <v>73</v>
      </c>
      <c r="I32" t="s">
        <v>74</v>
      </c>
      <c r="L32" t="s">
        <v>74</v>
      </c>
      <c r="M32" s="2">
        <v>45603</v>
      </c>
      <c r="N32" s="2">
        <v>1</v>
      </c>
      <c r="O32" s="2">
        <v>1</v>
      </c>
      <c r="P32" s="2">
        <v>1</v>
      </c>
      <c r="Q32" t="s">
        <v>75</v>
      </c>
      <c r="R32" t="s">
        <v>76</v>
      </c>
      <c r="S32">
        <v>2</v>
      </c>
      <c r="T32">
        <v>154.24700000000001</v>
      </c>
      <c r="U32">
        <v>42.848999999999997</v>
      </c>
      <c r="V32">
        <v>15.093999999999999</v>
      </c>
      <c r="X32" t="s">
        <v>77</v>
      </c>
      <c r="Y32" t="s">
        <v>77</v>
      </c>
      <c r="AB32" t="s">
        <v>77</v>
      </c>
      <c r="AC32" s="2">
        <v>45603</v>
      </c>
      <c r="AD32" s="2">
        <v>1</v>
      </c>
      <c r="AE32" s="2">
        <v>1</v>
      </c>
      <c r="AH32" t="s">
        <v>78</v>
      </c>
      <c r="AI32" s="2">
        <v>45603</v>
      </c>
      <c r="AJ32" s="2">
        <v>45614</v>
      </c>
      <c r="AK32" s="2">
        <v>45615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U32" s="2">
        <v>1</v>
      </c>
      <c r="AV32" s="2">
        <v>1</v>
      </c>
      <c r="AW32" s="2">
        <v>1</v>
      </c>
      <c r="AX32" s="2">
        <v>1</v>
      </c>
      <c r="BC32" t="s">
        <v>79</v>
      </c>
      <c r="BE32" s="2">
        <v>1</v>
      </c>
      <c r="BF32">
        <v>1</v>
      </c>
      <c r="BG32" t="s">
        <v>80</v>
      </c>
      <c r="BH32" t="s">
        <v>77</v>
      </c>
      <c r="BI32" t="s">
        <v>81</v>
      </c>
      <c r="BJ32" t="s">
        <v>82</v>
      </c>
      <c r="BK32" t="s">
        <v>83</v>
      </c>
      <c r="BL32" t="s">
        <v>83</v>
      </c>
      <c r="BM32" t="s">
        <v>83</v>
      </c>
      <c r="BO32" t="s">
        <v>35</v>
      </c>
    </row>
    <row r="33" spans="1:67" x14ac:dyDescent="0.25">
      <c r="A33" s="1">
        <v>31</v>
      </c>
      <c r="B33">
        <v>92776</v>
      </c>
      <c r="C33" t="s">
        <v>156</v>
      </c>
      <c r="D33" t="s">
        <v>70</v>
      </c>
      <c r="E33">
        <v>0</v>
      </c>
      <c r="F33" t="s">
        <v>157</v>
      </c>
      <c r="G33" t="s">
        <v>151</v>
      </c>
      <c r="H33" t="s">
        <v>73</v>
      </c>
      <c r="I33" t="s">
        <v>74</v>
      </c>
      <c r="L33" t="s">
        <v>74</v>
      </c>
      <c r="M33" s="2">
        <v>45603</v>
      </c>
      <c r="N33" s="2">
        <v>1</v>
      </c>
      <c r="O33" s="2">
        <v>1</v>
      </c>
      <c r="P33" s="2">
        <v>1</v>
      </c>
      <c r="Q33" t="s">
        <v>75</v>
      </c>
      <c r="R33" t="s">
        <v>76</v>
      </c>
      <c r="S33">
        <v>2</v>
      </c>
      <c r="T33">
        <v>54.173000000000002</v>
      </c>
      <c r="U33">
        <v>15.75</v>
      </c>
      <c r="V33">
        <v>5.0309999999999997</v>
      </c>
      <c r="X33" t="s">
        <v>77</v>
      </c>
      <c r="Y33" t="s">
        <v>77</v>
      </c>
      <c r="AB33" t="s">
        <v>77</v>
      </c>
      <c r="AC33" s="2">
        <v>45603</v>
      </c>
      <c r="AD33" s="2">
        <v>1</v>
      </c>
      <c r="AE33" s="2">
        <v>1</v>
      </c>
      <c r="AH33" t="s">
        <v>78</v>
      </c>
      <c r="AI33" s="2">
        <v>45603</v>
      </c>
      <c r="AJ33" s="2">
        <v>45614</v>
      </c>
      <c r="AK33" s="2">
        <v>45615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U33" s="2">
        <v>1</v>
      </c>
      <c r="AV33" s="2">
        <v>1</v>
      </c>
      <c r="AW33" s="2">
        <v>1</v>
      </c>
      <c r="AX33" s="2">
        <v>1</v>
      </c>
      <c r="BC33" t="s">
        <v>79</v>
      </c>
      <c r="BE33" s="2">
        <v>1</v>
      </c>
      <c r="BF33">
        <v>1</v>
      </c>
      <c r="BG33" t="s">
        <v>80</v>
      </c>
      <c r="BH33" t="s">
        <v>77</v>
      </c>
      <c r="BI33" t="s">
        <v>81</v>
      </c>
      <c r="BJ33" t="s">
        <v>82</v>
      </c>
      <c r="BK33" t="s">
        <v>83</v>
      </c>
      <c r="BL33" t="s">
        <v>83</v>
      </c>
      <c r="BM33" t="s">
        <v>83</v>
      </c>
      <c r="BO33" t="s">
        <v>35</v>
      </c>
    </row>
    <row r="34" spans="1:67" x14ac:dyDescent="0.25">
      <c r="A34" s="1">
        <v>32</v>
      </c>
      <c r="B34">
        <v>92777</v>
      </c>
      <c r="C34" t="s">
        <v>158</v>
      </c>
      <c r="D34" t="s">
        <v>70</v>
      </c>
      <c r="E34">
        <v>0</v>
      </c>
      <c r="F34" t="s">
        <v>159</v>
      </c>
      <c r="G34" t="s">
        <v>151</v>
      </c>
      <c r="H34" t="s">
        <v>73</v>
      </c>
      <c r="I34" t="s">
        <v>74</v>
      </c>
      <c r="L34" t="s">
        <v>74</v>
      </c>
      <c r="M34" s="2">
        <v>45603</v>
      </c>
      <c r="N34" s="2">
        <v>1</v>
      </c>
      <c r="O34" s="2">
        <v>1</v>
      </c>
      <c r="P34" s="2">
        <v>1</v>
      </c>
      <c r="Q34" t="s">
        <v>75</v>
      </c>
      <c r="R34" t="s">
        <v>76</v>
      </c>
      <c r="S34">
        <v>2</v>
      </c>
      <c r="T34">
        <v>66.561000000000007</v>
      </c>
      <c r="U34">
        <v>19.463999999999999</v>
      </c>
      <c r="V34">
        <v>5.0309999999999997</v>
      </c>
      <c r="X34" t="s">
        <v>77</v>
      </c>
      <c r="Y34" t="s">
        <v>77</v>
      </c>
      <c r="AB34" t="s">
        <v>77</v>
      </c>
      <c r="AC34" s="2">
        <v>45603</v>
      </c>
      <c r="AD34" s="2">
        <v>1</v>
      </c>
      <c r="AE34" s="2">
        <v>1</v>
      </c>
      <c r="AH34" t="s">
        <v>78</v>
      </c>
      <c r="AI34" s="2">
        <v>45604</v>
      </c>
      <c r="AJ34" s="2">
        <v>45614</v>
      </c>
      <c r="AK34" s="2">
        <v>45615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U34" s="2">
        <v>1</v>
      </c>
      <c r="AV34" s="2">
        <v>1</v>
      </c>
      <c r="AW34" s="2">
        <v>1</v>
      </c>
      <c r="AX34" s="2">
        <v>1</v>
      </c>
      <c r="BC34" t="s">
        <v>79</v>
      </c>
      <c r="BE34" s="2">
        <v>1</v>
      </c>
      <c r="BF34">
        <v>1</v>
      </c>
      <c r="BG34" t="s">
        <v>80</v>
      </c>
      <c r="BH34" t="s">
        <v>77</v>
      </c>
      <c r="BI34" t="s">
        <v>81</v>
      </c>
      <c r="BJ34" t="s">
        <v>82</v>
      </c>
      <c r="BK34" t="s">
        <v>83</v>
      </c>
      <c r="BL34" t="s">
        <v>83</v>
      </c>
      <c r="BM34" t="s">
        <v>83</v>
      </c>
      <c r="BO34" t="s">
        <v>35</v>
      </c>
    </row>
    <row r="35" spans="1:67" x14ac:dyDescent="0.25">
      <c r="A35" s="1">
        <v>33</v>
      </c>
      <c r="B35">
        <v>92781</v>
      </c>
      <c r="C35" t="s">
        <v>160</v>
      </c>
      <c r="D35" t="s">
        <v>70</v>
      </c>
      <c r="E35">
        <v>0</v>
      </c>
      <c r="F35" t="s">
        <v>161</v>
      </c>
      <c r="G35" t="s">
        <v>162</v>
      </c>
      <c r="H35" t="s">
        <v>73</v>
      </c>
      <c r="I35" t="s">
        <v>74</v>
      </c>
      <c r="L35" t="s">
        <v>74</v>
      </c>
      <c r="M35" s="2">
        <v>45603</v>
      </c>
      <c r="N35" s="2">
        <v>1</v>
      </c>
      <c r="O35" s="2">
        <v>1</v>
      </c>
      <c r="P35" s="2">
        <v>1</v>
      </c>
      <c r="Q35" t="s">
        <v>75</v>
      </c>
      <c r="R35" t="s">
        <v>76</v>
      </c>
      <c r="S35">
        <v>2</v>
      </c>
      <c r="T35">
        <v>14.273999999999999</v>
      </c>
      <c r="U35">
        <v>4.5830000000000002</v>
      </c>
      <c r="V35">
        <v>10.063000000000001</v>
      </c>
      <c r="X35" t="s">
        <v>77</v>
      </c>
      <c r="Y35" t="s">
        <v>77</v>
      </c>
      <c r="AB35" t="s">
        <v>77</v>
      </c>
      <c r="AC35" s="2">
        <v>45603</v>
      </c>
      <c r="AD35" s="2">
        <v>1</v>
      </c>
      <c r="AE35" s="2">
        <v>1</v>
      </c>
      <c r="AH35" t="s">
        <v>78</v>
      </c>
      <c r="AI35" s="2">
        <v>45604</v>
      </c>
      <c r="AJ35" s="2">
        <v>45614</v>
      </c>
      <c r="AK35" s="2">
        <v>45615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U35" s="2">
        <v>1</v>
      </c>
      <c r="AV35" s="2">
        <v>1</v>
      </c>
      <c r="AW35" s="2">
        <v>1</v>
      </c>
      <c r="AX35" s="2">
        <v>1</v>
      </c>
      <c r="BC35" t="s">
        <v>79</v>
      </c>
      <c r="BE35" s="2">
        <v>1</v>
      </c>
      <c r="BF35">
        <v>1</v>
      </c>
      <c r="BG35" t="s">
        <v>80</v>
      </c>
      <c r="BH35" t="s">
        <v>77</v>
      </c>
      <c r="BI35" t="s">
        <v>81</v>
      </c>
      <c r="BJ35" t="s">
        <v>82</v>
      </c>
      <c r="BK35" t="s">
        <v>83</v>
      </c>
      <c r="BL35" t="s">
        <v>83</v>
      </c>
      <c r="BM35" t="s">
        <v>83</v>
      </c>
      <c r="BO35" t="s">
        <v>35</v>
      </c>
    </row>
    <row r="36" spans="1:67" x14ac:dyDescent="0.25">
      <c r="A36" s="1">
        <v>34</v>
      </c>
      <c r="B36">
        <v>92782</v>
      </c>
      <c r="C36" t="s">
        <v>163</v>
      </c>
      <c r="D36" t="s">
        <v>70</v>
      </c>
      <c r="E36">
        <v>0</v>
      </c>
      <c r="F36" t="s">
        <v>164</v>
      </c>
      <c r="G36" t="s">
        <v>162</v>
      </c>
      <c r="H36" t="s">
        <v>73</v>
      </c>
      <c r="I36" t="s">
        <v>74</v>
      </c>
      <c r="L36" t="s">
        <v>74</v>
      </c>
      <c r="M36" s="2">
        <v>45603</v>
      </c>
      <c r="N36" s="2">
        <v>1</v>
      </c>
      <c r="O36" s="2">
        <v>1</v>
      </c>
      <c r="P36" s="2">
        <v>1</v>
      </c>
      <c r="Q36" t="s">
        <v>75</v>
      </c>
      <c r="R36" t="s">
        <v>76</v>
      </c>
      <c r="S36">
        <v>2</v>
      </c>
      <c r="T36">
        <v>65.061999999999998</v>
      </c>
      <c r="U36">
        <v>24.161000000000001</v>
      </c>
      <c r="V36">
        <v>50.313000000000002</v>
      </c>
      <c r="X36" t="s">
        <v>77</v>
      </c>
      <c r="Y36" t="s">
        <v>77</v>
      </c>
      <c r="AB36" t="s">
        <v>77</v>
      </c>
      <c r="AC36" s="2">
        <v>45603</v>
      </c>
      <c r="AD36" s="2">
        <v>1</v>
      </c>
      <c r="AE36" s="2">
        <v>1</v>
      </c>
      <c r="AH36" t="s">
        <v>78</v>
      </c>
      <c r="AI36" s="2">
        <v>45604</v>
      </c>
      <c r="AJ36" s="2">
        <v>45614</v>
      </c>
      <c r="AK36" s="2">
        <v>45615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U36" s="2">
        <v>1</v>
      </c>
      <c r="AV36" s="2">
        <v>1</v>
      </c>
      <c r="AW36" s="2">
        <v>1</v>
      </c>
      <c r="AX36" s="2">
        <v>1</v>
      </c>
      <c r="BC36" t="s">
        <v>79</v>
      </c>
      <c r="BE36" s="2">
        <v>1</v>
      </c>
      <c r="BF36">
        <v>1</v>
      </c>
      <c r="BG36" t="s">
        <v>80</v>
      </c>
      <c r="BH36" t="s">
        <v>77</v>
      </c>
      <c r="BI36" t="s">
        <v>81</v>
      </c>
      <c r="BJ36" t="s">
        <v>82</v>
      </c>
      <c r="BK36" t="s">
        <v>83</v>
      </c>
      <c r="BL36" t="s">
        <v>83</v>
      </c>
      <c r="BM36" t="s">
        <v>83</v>
      </c>
      <c r="BO36" t="s">
        <v>35</v>
      </c>
    </row>
    <row r="37" spans="1:67" x14ac:dyDescent="0.25">
      <c r="A37" s="1">
        <v>35</v>
      </c>
      <c r="B37">
        <v>92783</v>
      </c>
      <c r="C37" t="s">
        <v>165</v>
      </c>
      <c r="D37" t="s">
        <v>70</v>
      </c>
      <c r="E37">
        <v>0</v>
      </c>
      <c r="F37" t="s">
        <v>166</v>
      </c>
      <c r="G37" t="s">
        <v>162</v>
      </c>
      <c r="H37" t="s">
        <v>73</v>
      </c>
      <c r="I37" t="s">
        <v>74</v>
      </c>
      <c r="L37" t="s">
        <v>74</v>
      </c>
      <c r="M37" s="2">
        <v>45603</v>
      </c>
      <c r="N37" s="2">
        <v>1</v>
      </c>
      <c r="O37" s="2">
        <v>1</v>
      </c>
      <c r="P37" s="2">
        <v>1</v>
      </c>
      <c r="Q37" t="s">
        <v>75</v>
      </c>
      <c r="R37" t="s">
        <v>76</v>
      </c>
      <c r="S37">
        <v>2</v>
      </c>
      <c r="T37">
        <v>18.006</v>
      </c>
      <c r="U37">
        <v>5.5940000000000003</v>
      </c>
      <c r="V37">
        <v>10.063000000000001</v>
      </c>
      <c r="X37" t="s">
        <v>77</v>
      </c>
      <c r="Y37" t="s">
        <v>77</v>
      </c>
      <c r="AB37" t="s">
        <v>77</v>
      </c>
      <c r="AC37" s="2">
        <v>45603</v>
      </c>
      <c r="AD37" s="2">
        <v>1</v>
      </c>
      <c r="AE37" s="2">
        <v>1</v>
      </c>
      <c r="AH37" t="s">
        <v>78</v>
      </c>
      <c r="AI37" s="2">
        <v>45604</v>
      </c>
      <c r="AJ37" s="2">
        <v>45614</v>
      </c>
      <c r="AK37" s="2">
        <v>45615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U37" s="2">
        <v>1</v>
      </c>
      <c r="AV37" s="2">
        <v>1</v>
      </c>
      <c r="AW37" s="2">
        <v>1</v>
      </c>
      <c r="AX37" s="2">
        <v>1</v>
      </c>
      <c r="BC37" t="s">
        <v>79</v>
      </c>
      <c r="BE37" s="2">
        <v>1</v>
      </c>
      <c r="BF37">
        <v>1</v>
      </c>
      <c r="BG37" t="s">
        <v>80</v>
      </c>
      <c r="BH37" t="s">
        <v>77</v>
      </c>
      <c r="BI37" t="s">
        <v>81</v>
      </c>
      <c r="BJ37" t="s">
        <v>82</v>
      </c>
      <c r="BK37" t="s">
        <v>83</v>
      </c>
      <c r="BL37" t="s">
        <v>83</v>
      </c>
      <c r="BM37" t="s">
        <v>83</v>
      </c>
      <c r="BO37" t="s">
        <v>35</v>
      </c>
    </row>
    <row r="38" spans="1:67" x14ac:dyDescent="0.25">
      <c r="A38" s="1">
        <v>36</v>
      </c>
      <c r="B38">
        <v>92785</v>
      </c>
      <c r="C38" t="s">
        <v>167</v>
      </c>
      <c r="D38" t="s">
        <v>70</v>
      </c>
      <c r="E38">
        <v>0</v>
      </c>
      <c r="F38" t="s">
        <v>168</v>
      </c>
      <c r="G38" t="s">
        <v>169</v>
      </c>
      <c r="H38" t="s">
        <v>73</v>
      </c>
      <c r="I38" t="s">
        <v>74</v>
      </c>
      <c r="L38" t="s">
        <v>74</v>
      </c>
      <c r="M38" s="2">
        <v>45603</v>
      </c>
      <c r="N38" s="2">
        <v>1</v>
      </c>
      <c r="O38" s="2">
        <v>1</v>
      </c>
      <c r="P38" s="2">
        <v>1</v>
      </c>
      <c r="Q38" t="s">
        <v>75</v>
      </c>
      <c r="R38" t="s">
        <v>76</v>
      </c>
      <c r="S38">
        <v>2</v>
      </c>
      <c r="T38">
        <v>13.669</v>
      </c>
      <c r="U38">
        <v>5.5</v>
      </c>
      <c r="V38">
        <v>10.063000000000001</v>
      </c>
      <c r="X38" t="s">
        <v>77</v>
      </c>
      <c r="Y38" t="s">
        <v>77</v>
      </c>
      <c r="AB38" t="s">
        <v>77</v>
      </c>
      <c r="AC38" s="2">
        <v>45603</v>
      </c>
      <c r="AD38" s="2">
        <v>1</v>
      </c>
      <c r="AE38" s="2">
        <v>1</v>
      </c>
      <c r="AH38" t="s">
        <v>78</v>
      </c>
      <c r="AI38" s="2">
        <v>45604</v>
      </c>
      <c r="AJ38" s="2">
        <v>45614</v>
      </c>
      <c r="AK38" s="2">
        <v>45615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U38" s="2">
        <v>1</v>
      </c>
      <c r="AV38" s="2">
        <v>1</v>
      </c>
      <c r="AW38" s="2">
        <v>1</v>
      </c>
      <c r="AX38" s="2">
        <v>1</v>
      </c>
      <c r="BC38" t="s">
        <v>79</v>
      </c>
      <c r="BE38" s="2">
        <v>1</v>
      </c>
      <c r="BF38">
        <v>1</v>
      </c>
      <c r="BG38" t="s">
        <v>80</v>
      </c>
      <c r="BH38" t="s">
        <v>77</v>
      </c>
      <c r="BI38" t="s">
        <v>81</v>
      </c>
      <c r="BJ38" t="s">
        <v>82</v>
      </c>
      <c r="BK38" t="s">
        <v>83</v>
      </c>
      <c r="BL38" t="s">
        <v>83</v>
      </c>
      <c r="BM38" t="s">
        <v>83</v>
      </c>
      <c r="BO38" t="s">
        <v>35</v>
      </c>
    </row>
    <row r="39" spans="1:67" x14ac:dyDescent="0.25">
      <c r="A39" s="1">
        <v>37</v>
      </c>
      <c r="B39">
        <v>92786</v>
      </c>
      <c r="C39" t="s">
        <v>170</v>
      </c>
      <c r="D39" t="s">
        <v>70</v>
      </c>
      <c r="E39">
        <v>0</v>
      </c>
      <c r="F39" t="s">
        <v>171</v>
      </c>
      <c r="G39" t="s">
        <v>169</v>
      </c>
      <c r="H39" t="s">
        <v>73</v>
      </c>
      <c r="I39" t="s">
        <v>74</v>
      </c>
      <c r="L39" t="s">
        <v>74</v>
      </c>
      <c r="M39" s="2">
        <v>45603</v>
      </c>
      <c r="N39" s="2">
        <v>1</v>
      </c>
      <c r="O39" s="2">
        <v>1</v>
      </c>
      <c r="P39" s="2">
        <v>1</v>
      </c>
      <c r="Q39" t="s">
        <v>75</v>
      </c>
      <c r="R39" t="s">
        <v>76</v>
      </c>
      <c r="S39">
        <v>2</v>
      </c>
      <c r="T39">
        <v>46.695</v>
      </c>
      <c r="U39">
        <v>16.245000000000001</v>
      </c>
      <c r="V39">
        <v>30.187999999999999</v>
      </c>
      <c r="X39" t="s">
        <v>77</v>
      </c>
      <c r="Y39" t="s">
        <v>77</v>
      </c>
      <c r="AB39" t="s">
        <v>77</v>
      </c>
      <c r="AC39" s="2">
        <v>45603</v>
      </c>
      <c r="AD39" s="2">
        <v>1</v>
      </c>
      <c r="AE39" s="2">
        <v>1</v>
      </c>
      <c r="AH39" t="s">
        <v>78</v>
      </c>
      <c r="AI39" s="2">
        <v>45604</v>
      </c>
      <c r="AJ39" s="2">
        <v>45611</v>
      </c>
      <c r="AK39" s="2">
        <v>45615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U39" s="2">
        <v>1</v>
      </c>
      <c r="AV39" s="2">
        <v>1</v>
      </c>
      <c r="AW39" s="2">
        <v>1</v>
      </c>
      <c r="AX39" s="2">
        <v>1</v>
      </c>
      <c r="BC39" t="s">
        <v>79</v>
      </c>
      <c r="BE39" s="2">
        <v>1</v>
      </c>
      <c r="BF39">
        <v>1</v>
      </c>
      <c r="BG39" t="s">
        <v>80</v>
      </c>
      <c r="BH39" t="s">
        <v>77</v>
      </c>
      <c r="BI39" t="s">
        <v>81</v>
      </c>
      <c r="BJ39" t="s">
        <v>82</v>
      </c>
      <c r="BK39" t="s">
        <v>83</v>
      </c>
      <c r="BL39" t="s">
        <v>83</v>
      </c>
      <c r="BM39" t="s">
        <v>83</v>
      </c>
      <c r="BO39" t="s">
        <v>35</v>
      </c>
    </row>
    <row r="40" spans="1:67" x14ac:dyDescent="0.25">
      <c r="A40" s="1">
        <v>38</v>
      </c>
      <c r="B40">
        <v>92787</v>
      </c>
      <c r="C40" t="s">
        <v>172</v>
      </c>
      <c r="D40" t="s">
        <v>70</v>
      </c>
      <c r="E40">
        <v>0</v>
      </c>
      <c r="F40" t="s">
        <v>173</v>
      </c>
      <c r="G40" t="s">
        <v>169</v>
      </c>
      <c r="H40" t="s">
        <v>73</v>
      </c>
      <c r="I40" t="s">
        <v>74</v>
      </c>
      <c r="L40" t="s">
        <v>74</v>
      </c>
      <c r="M40" s="2">
        <v>45603</v>
      </c>
      <c r="N40" s="2">
        <v>1</v>
      </c>
      <c r="O40" s="2">
        <v>1</v>
      </c>
      <c r="P40" s="2">
        <v>1</v>
      </c>
      <c r="Q40" t="s">
        <v>75</v>
      </c>
      <c r="R40" t="s">
        <v>76</v>
      </c>
      <c r="S40">
        <v>2</v>
      </c>
      <c r="T40">
        <v>54.404000000000003</v>
      </c>
      <c r="U40">
        <v>15.813000000000001</v>
      </c>
      <c r="V40">
        <v>10.063000000000001</v>
      </c>
      <c r="X40" t="s">
        <v>77</v>
      </c>
      <c r="Y40" t="s">
        <v>77</v>
      </c>
      <c r="AB40" t="s">
        <v>77</v>
      </c>
      <c r="AC40" s="2">
        <v>45603</v>
      </c>
      <c r="AD40" s="2">
        <v>1</v>
      </c>
      <c r="AE40" s="2">
        <v>1</v>
      </c>
      <c r="AH40" t="s">
        <v>78</v>
      </c>
      <c r="AI40" s="2">
        <v>45604</v>
      </c>
      <c r="AJ40" s="2">
        <v>45611</v>
      </c>
      <c r="AK40" s="2">
        <v>45615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U40" s="2">
        <v>1</v>
      </c>
      <c r="AV40" s="2">
        <v>1</v>
      </c>
      <c r="AW40" s="2">
        <v>1</v>
      </c>
      <c r="AX40" s="2">
        <v>1</v>
      </c>
      <c r="BC40" t="s">
        <v>79</v>
      </c>
      <c r="BE40" s="2">
        <v>1</v>
      </c>
      <c r="BF40">
        <v>1</v>
      </c>
      <c r="BG40" t="s">
        <v>80</v>
      </c>
      <c r="BH40" t="s">
        <v>77</v>
      </c>
      <c r="BI40" t="s">
        <v>81</v>
      </c>
      <c r="BJ40" t="s">
        <v>82</v>
      </c>
      <c r="BK40" t="s">
        <v>83</v>
      </c>
      <c r="BL40" t="s">
        <v>83</v>
      </c>
      <c r="BM40" t="s">
        <v>83</v>
      </c>
      <c r="BO40" t="s">
        <v>35</v>
      </c>
    </row>
    <row r="41" spans="1:67" x14ac:dyDescent="0.25">
      <c r="A41" s="1">
        <v>39</v>
      </c>
      <c r="B41">
        <v>92789</v>
      </c>
      <c r="C41" t="s">
        <v>174</v>
      </c>
      <c r="D41" t="s">
        <v>70</v>
      </c>
      <c r="E41">
        <v>0</v>
      </c>
      <c r="F41" t="s">
        <v>175</v>
      </c>
      <c r="G41" t="s">
        <v>176</v>
      </c>
      <c r="H41" t="s">
        <v>73</v>
      </c>
      <c r="I41" t="s">
        <v>74</v>
      </c>
      <c r="L41" t="s">
        <v>74</v>
      </c>
      <c r="M41" s="2">
        <v>45603</v>
      </c>
      <c r="N41" s="2">
        <v>1</v>
      </c>
      <c r="O41" s="2">
        <v>1</v>
      </c>
      <c r="P41" s="2">
        <v>1</v>
      </c>
      <c r="Q41" t="s">
        <v>75</v>
      </c>
      <c r="R41" t="s">
        <v>76</v>
      </c>
      <c r="S41">
        <v>2</v>
      </c>
      <c r="T41">
        <v>13.669</v>
      </c>
      <c r="U41">
        <v>5.5</v>
      </c>
      <c r="V41">
        <v>10.063000000000001</v>
      </c>
      <c r="X41" t="s">
        <v>77</v>
      </c>
      <c r="Y41" t="s">
        <v>77</v>
      </c>
      <c r="AB41" t="s">
        <v>77</v>
      </c>
      <c r="AC41" s="2">
        <v>45603</v>
      </c>
      <c r="AD41" s="2">
        <v>1</v>
      </c>
      <c r="AE41" s="2">
        <v>1</v>
      </c>
      <c r="AH41" t="s">
        <v>78</v>
      </c>
      <c r="AI41" s="2">
        <v>45604</v>
      </c>
      <c r="AJ41" s="2">
        <v>45611</v>
      </c>
      <c r="AK41" s="2">
        <v>45615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U41" s="2">
        <v>1</v>
      </c>
      <c r="AV41" s="2">
        <v>1</v>
      </c>
      <c r="AW41" s="2">
        <v>1</v>
      </c>
      <c r="AX41" s="2">
        <v>1</v>
      </c>
      <c r="BC41" t="s">
        <v>79</v>
      </c>
      <c r="BE41" s="2">
        <v>1</v>
      </c>
      <c r="BF41">
        <v>1</v>
      </c>
      <c r="BG41" t="s">
        <v>80</v>
      </c>
      <c r="BH41" t="s">
        <v>77</v>
      </c>
      <c r="BI41" t="s">
        <v>81</v>
      </c>
      <c r="BJ41" t="s">
        <v>82</v>
      </c>
      <c r="BK41" t="s">
        <v>83</v>
      </c>
      <c r="BL41" t="s">
        <v>83</v>
      </c>
      <c r="BM41" t="s">
        <v>83</v>
      </c>
      <c r="BO41" t="s">
        <v>35</v>
      </c>
    </row>
    <row r="42" spans="1:67" x14ac:dyDescent="0.25">
      <c r="A42" s="1">
        <v>40</v>
      </c>
      <c r="B42">
        <v>92791</v>
      </c>
      <c r="C42" t="s">
        <v>177</v>
      </c>
      <c r="D42" t="s">
        <v>70</v>
      </c>
      <c r="E42">
        <v>0</v>
      </c>
      <c r="F42" t="s">
        <v>178</v>
      </c>
      <c r="G42" t="s">
        <v>179</v>
      </c>
      <c r="H42" t="s">
        <v>73</v>
      </c>
      <c r="I42" t="s">
        <v>74</v>
      </c>
      <c r="L42" t="s">
        <v>74</v>
      </c>
      <c r="M42" s="2">
        <v>45603</v>
      </c>
      <c r="N42" s="2">
        <v>1</v>
      </c>
      <c r="O42" s="2">
        <v>1</v>
      </c>
      <c r="P42" s="2">
        <v>1</v>
      </c>
      <c r="Q42" t="s">
        <v>75</v>
      </c>
      <c r="R42" t="s">
        <v>76</v>
      </c>
      <c r="S42">
        <v>2</v>
      </c>
      <c r="T42">
        <v>37.768999999999998</v>
      </c>
      <c r="U42">
        <v>12.026</v>
      </c>
      <c r="V42">
        <v>15.093999999999999</v>
      </c>
      <c r="X42" t="s">
        <v>77</v>
      </c>
      <c r="Y42" t="s">
        <v>77</v>
      </c>
      <c r="AB42" t="s">
        <v>77</v>
      </c>
      <c r="AC42" s="2">
        <v>45603</v>
      </c>
      <c r="AD42" s="2">
        <v>1</v>
      </c>
      <c r="AE42" s="2">
        <v>1</v>
      </c>
      <c r="AH42" t="s">
        <v>78</v>
      </c>
      <c r="AI42" s="2">
        <v>45604</v>
      </c>
      <c r="AJ42" s="2">
        <v>45611</v>
      </c>
      <c r="AK42" s="2">
        <v>45615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U42" s="2">
        <v>1</v>
      </c>
      <c r="AV42" s="2">
        <v>1</v>
      </c>
      <c r="AW42" s="2">
        <v>1</v>
      </c>
      <c r="AX42" s="2">
        <v>1</v>
      </c>
      <c r="BC42" t="s">
        <v>79</v>
      </c>
      <c r="BE42" s="2">
        <v>1</v>
      </c>
      <c r="BF42">
        <v>1</v>
      </c>
      <c r="BG42" t="s">
        <v>80</v>
      </c>
      <c r="BH42" t="s">
        <v>77</v>
      </c>
      <c r="BI42" t="s">
        <v>81</v>
      </c>
      <c r="BJ42" t="s">
        <v>82</v>
      </c>
      <c r="BK42" t="s">
        <v>83</v>
      </c>
      <c r="BL42" t="s">
        <v>83</v>
      </c>
      <c r="BM42" t="s">
        <v>83</v>
      </c>
      <c r="BO42" t="s">
        <v>35</v>
      </c>
    </row>
    <row r="43" spans="1:67" x14ac:dyDescent="0.25">
      <c r="A43" s="1">
        <v>41</v>
      </c>
      <c r="B43">
        <v>92793</v>
      </c>
      <c r="C43" t="s">
        <v>180</v>
      </c>
      <c r="D43" t="s">
        <v>70</v>
      </c>
      <c r="E43">
        <v>0</v>
      </c>
      <c r="F43" t="s">
        <v>181</v>
      </c>
      <c r="G43" t="s">
        <v>182</v>
      </c>
      <c r="H43" t="s">
        <v>73</v>
      </c>
      <c r="I43" t="s">
        <v>74</v>
      </c>
      <c r="L43" t="s">
        <v>74</v>
      </c>
      <c r="M43" s="2">
        <v>45603</v>
      </c>
      <c r="N43" s="2">
        <v>1</v>
      </c>
      <c r="O43" s="2">
        <v>1</v>
      </c>
      <c r="P43" s="2">
        <v>1</v>
      </c>
      <c r="Q43" t="s">
        <v>75</v>
      </c>
      <c r="R43" t="s">
        <v>76</v>
      </c>
      <c r="S43">
        <v>2</v>
      </c>
      <c r="T43">
        <v>46.752000000000002</v>
      </c>
      <c r="U43">
        <v>16.260000000000002</v>
      </c>
      <c r="V43">
        <v>35.219000000000001</v>
      </c>
      <c r="X43" t="s">
        <v>77</v>
      </c>
      <c r="Y43" t="s">
        <v>77</v>
      </c>
      <c r="AB43" t="s">
        <v>77</v>
      </c>
      <c r="AC43" s="2">
        <v>45603</v>
      </c>
      <c r="AD43" s="2">
        <v>1</v>
      </c>
      <c r="AE43" s="2">
        <v>1</v>
      </c>
      <c r="AH43" t="s">
        <v>78</v>
      </c>
      <c r="AI43" s="2">
        <v>45604</v>
      </c>
      <c r="AJ43" s="2">
        <v>45611</v>
      </c>
      <c r="AK43" s="2">
        <v>45615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U43" s="2">
        <v>1</v>
      </c>
      <c r="AV43" s="2">
        <v>1</v>
      </c>
      <c r="AW43" s="2">
        <v>1</v>
      </c>
      <c r="AX43" s="2">
        <v>1</v>
      </c>
      <c r="BC43" t="s">
        <v>79</v>
      </c>
      <c r="BE43" s="2">
        <v>1</v>
      </c>
      <c r="BF43">
        <v>1</v>
      </c>
      <c r="BG43" t="s">
        <v>80</v>
      </c>
      <c r="BH43" t="s">
        <v>77</v>
      </c>
      <c r="BI43" t="s">
        <v>81</v>
      </c>
      <c r="BJ43" t="s">
        <v>82</v>
      </c>
      <c r="BK43" t="s">
        <v>83</v>
      </c>
      <c r="BL43" t="s">
        <v>83</v>
      </c>
      <c r="BM43" t="s">
        <v>83</v>
      </c>
      <c r="BO43" t="s">
        <v>35</v>
      </c>
    </row>
    <row r="44" spans="1:67" x14ac:dyDescent="0.25">
      <c r="A44" s="1">
        <v>42</v>
      </c>
      <c r="B44">
        <v>92794</v>
      </c>
      <c r="C44" t="s">
        <v>183</v>
      </c>
      <c r="D44" t="s">
        <v>70</v>
      </c>
      <c r="E44">
        <v>0</v>
      </c>
      <c r="F44" t="s">
        <v>184</v>
      </c>
      <c r="G44" t="s">
        <v>182</v>
      </c>
      <c r="H44" t="s">
        <v>73</v>
      </c>
      <c r="I44" t="s">
        <v>74</v>
      </c>
      <c r="L44" t="s">
        <v>74</v>
      </c>
      <c r="M44" s="2">
        <v>45603</v>
      </c>
      <c r="N44" s="2">
        <v>1</v>
      </c>
      <c r="O44" s="2">
        <v>1</v>
      </c>
      <c r="P44" s="2">
        <v>1</v>
      </c>
      <c r="Q44" t="s">
        <v>75</v>
      </c>
      <c r="R44" t="s">
        <v>76</v>
      </c>
      <c r="S44">
        <v>2</v>
      </c>
      <c r="T44">
        <v>19.256</v>
      </c>
      <c r="U44">
        <v>5.9320000000000004</v>
      </c>
      <c r="V44">
        <v>10.063000000000001</v>
      </c>
      <c r="X44" t="s">
        <v>77</v>
      </c>
      <c r="Y44" t="s">
        <v>77</v>
      </c>
      <c r="AB44" t="s">
        <v>77</v>
      </c>
      <c r="AC44" s="2">
        <v>45603</v>
      </c>
      <c r="AD44" s="2">
        <v>1</v>
      </c>
      <c r="AE44" s="2">
        <v>1</v>
      </c>
      <c r="AH44" t="s">
        <v>78</v>
      </c>
      <c r="AI44" s="2">
        <v>45604</v>
      </c>
      <c r="AJ44" s="2">
        <v>45611</v>
      </c>
      <c r="AK44" s="2">
        <v>45615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U44" s="2">
        <v>1</v>
      </c>
      <c r="AV44" s="2">
        <v>1</v>
      </c>
      <c r="AW44" s="2">
        <v>1</v>
      </c>
      <c r="AX44" s="2">
        <v>1</v>
      </c>
      <c r="BC44" t="s">
        <v>79</v>
      </c>
      <c r="BE44" s="2">
        <v>1</v>
      </c>
      <c r="BF44">
        <v>1</v>
      </c>
      <c r="BG44" t="s">
        <v>80</v>
      </c>
      <c r="BH44" t="s">
        <v>77</v>
      </c>
      <c r="BI44" t="s">
        <v>81</v>
      </c>
      <c r="BJ44" t="s">
        <v>82</v>
      </c>
      <c r="BK44" t="s">
        <v>83</v>
      </c>
      <c r="BL44" t="s">
        <v>83</v>
      </c>
      <c r="BM44" t="s">
        <v>83</v>
      </c>
      <c r="BO44" t="s">
        <v>35</v>
      </c>
    </row>
    <row r="45" spans="1:67" x14ac:dyDescent="0.25">
      <c r="A45" s="1">
        <v>43</v>
      </c>
      <c r="B45">
        <v>92797</v>
      </c>
      <c r="C45" t="s">
        <v>185</v>
      </c>
      <c r="D45" t="s">
        <v>70</v>
      </c>
      <c r="E45">
        <v>0</v>
      </c>
      <c r="F45" t="s">
        <v>186</v>
      </c>
      <c r="G45" t="s">
        <v>187</v>
      </c>
      <c r="H45" t="s">
        <v>73</v>
      </c>
      <c r="I45" t="s">
        <v>74</v>
      </c>
      <c r="L45" t="s">
        <v>74</v>
      </c>
      <c r="M45" s="2">
        <v>45603</v>
      </c>
      <c r="N45" s="2">
        <v>1</v>
      </c>
      <c r="O45" s="2">
        <v>1</v>
      </c>
      <c r="P45" s="2">
        <v>1</v>
      </c>
      <c r="Q45" t="s">
        <v>75</v>
      </c>
      <c r="R45" t="s">
        <v>76</v>
      </c>
      <c r="S45">
        <v>2</v>
      </c>
      <c r="T45">
        <v>51.106999999999999</v>
      </c>
      <c r="U45">
        <v>19.302</v>
      </c>
      <c r="V45">
        <v>35.219000000000001</v>
      </c>
      <c r="X45" t="s">
        <v>77</v>
      </c>
      <c r="Y45" t="s">
        <v>77</v>
      </c>
      <c r="AB45" t="s">
        <v>77</v>
      </c>
      <c r="AC45" s="2">
        <v>45603</v>
      </c>
      <c r="AD45" s="2">
        <v>1</v>
      </c>
      <c r="AE45" s="2">
        <v>1</v>
      </c>
      <c r="AH45" t="s">
        <v>78</v>
      </c>
      <c r="AI45" s="2">
        <v>45604</v>
      </c>
      <c r="AJ45" s="2">
        <v>45611</v>
      </c>
      <c r="AK45" s="2">
        <v>45615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U45" s="2">
        <v>1</v>
      </c>
      <c r="AV45" s="2">
        <v>1</v>
      </c>
      <c r="AW45" s="2">
        <v>1</v>
      </c>
      <c r="AX45" s="2">
        <v>1</v>
      </c>
      <c r="BC45" t="s">
        <v>79</v>
      </c>
      <c r="BE45" s="2">
        <v>1</v>
      </c>
      <c r="BF45">
        <v>1</v>
      </c>
      <c r="BG45" t="s">
        <v>80</v>
      </c>
      <c r="BH45" t="s">
        <v>77</v>
      </c>
      <c r="BI45" t="s">
        <v>81</v>
      </c>
      <c r="BJ45" t="s">
        <v>82</v>
      </c>
      <c r="BK45" t="s">
        <v>83</v>
      </c>
      <c r="BL45" t="s">
        <v>83</v>
      </c>
      <c r="BM45" t="s">
        <v>83</v>
      </c>
      <c r="BO45" t="s">
        <v>35</v>
      </c>
    </row>
    <row r="46" spans="1:67" x14ac:dyDescent="0.25">
      <c r="A46" s="1">
        <v>44</v>
      </c>
      <c r="B46">
        <v>92799</v>
      </c>
      <c r="C46" t="s">
        <v>188</v>
      </c>
      <c r="D46" t="s">
        <v>70</v>
      </c>
      <c r="E46">
        <v>0</v>
      </c>
      <c r="F46" t="s">
        <v>189</v>
      </c>
      <c r="G46" t="s">
        <v>190</v>
      </c>
      <c r="H46" t="s">
        <v>73</v>
      </c>
      <c r="I46" t="s">
        <v>74</v>
      </c>
      <c r="L46" t="s">
        <v>74</v>
      </c>
      <c r="M46" s="2">
        <v>45603</v>
      </c>
      <c r="N46" s="2">
        <v>1</v>
      </c>
      <c r="O46" s="2">
        <v>1</v>
      </c>
      <c r="P46" s="2">
        <v>1</v>
      </c>
      <c r="Q46" t="s">
        <v>75</v>
      </c>
      <c r="R46" t="s">
        <v>76</v>
      </c>
      <c r="S46">
        <v>1</v>
      </c>
      <c r="T46">
        <v>28.216999999999999</v>
      </c>
      <c r="U46">
        <v>20.646000000000001</v>
      </c>
      <c r="V46">
        <v>18.265000000000001</v>
      </c>
      <c r="X46" t="s">
        <v>77</v>
      </c>
      <c r="Y46" t="s">
        <v>77</v>
      </c>
      <c r="AB46" t="s">
        <v>77</v>
      </c>
      <c r="AC46" s="2">
        <v>45603</v>
      </c>
      <c r="AD46" s="2">
        <v>1</v>
      </c>
      <c r="AE46" s="2">
        <v>1</v>
      </c>
      <c r="AH46" t="s">
        <v>78</v>
      </c>
      <c r="AI46" s="2">
        <v>45604</v>
      </c>
      <c r="AJ46" s="2">
        <v>45615</v>
      </c>
      <c r="AK46" s="2">
        <v>45615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BC46" t="s">
        <v>79</v>
      </c>
      <c r="BE46" s="2">
        <v>1</v>
      </c>
      <c r="BF46">
        <v>1</v>
      </c>
      <c r="BG46" t="s">
        <v>80</v>
      </c>
      <c r="BH46" t="s">
        <v>77</v>
      </c>
      <c r="BI46" t="s">
        <v>81</v>
      </c>
      <c r="BJ46" t="s">
        <v>82</v>
      </c>
      <c r="BK46" t="s">
        <v>83</v>
      </c>
      <c r="BL46" t="s">
        <v>83</v>
      </c>
      <c r="BM46" t="s">
        <v>83</v>
      </c>
      <c r="BN46" t="s">
        <v>79</v>
      </c>
      <c r="BO46" t="s">
        <v>35</v>
      </c>
    </row>
    <row r="47" spans="1:67" x14ac:dyDescent="0.25">
      <c r="A47" s="1">
        <v>45</v>
      </c>
      <c r="B47">
        <v>92800</v>
      </c>
      <c r="C47" t="s">
        <v>191</v>
      </c>
      <c r="D47" t="s">
        <v>70</v>
      </c>
      <c r="E47">
        <v>0</v>
      </c>
      <c r="F47" t="s">
        <v>192</v>
      </c>
      <c r="G47" t="s">
        <v>190</v>
      </c>
      <c r="H47" t="s">
        <v>73</v>
      </c>
      <c r="I47" t="s">
        <v>74</v>
      </c>
      <c r="L47" t="s">
        <v>74</v>
      </c>
      <c r="M47" s="2">
        <v>45603</v>
      </c>
      <c r="N47" s="2">
        <v>1</v>
      </c>
      <c r="O47" s="2">
        <v>1</v>
      </c>
      <c r="P47" s="2">
        <v>1</v>
      </c>
      <c r="Q47" t="s">
        <v>75</v>
      </c>
      <c r="R47" t="s">
        <v>76</v>
      </c>
      <c r="S47">
        <v>2</v>
      </c>
      <c r="T47">
        <v>13.669</v>
      </c>
      <c r="U47">
        <v>5.5</v>
      </c>
      <c r="V47">
        <v>10.063000000000001</v>
      </c>
      <c r="X47" t="s">
        <v>77</v>
      </c>
      <c r="Y47" t="s">
        <v>77</v>
      </c>
      <c r="AB47" t="s">
        <v>77</v>
      </c>
      <c r="AC47" s="2">
        <v>45603</v>
      </c>
      <c r="AD47" s="2">
        <v>1</v>
      </c>
      <c r="AE47" s="2">
        <v>1</v>
      </c>
      <c r="AH47" t="s">
        <v>78</v>
      </c>
      <c r="AI47" s="2">
        <v>45604</v>
      </c>
      <c r="AJ47" s="2">
        <v>45615</v>
      </c>
      <c r="AK47" s="2">
        <v>45615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BC47" t="s">
        <v>79</v>
      </c>
      <c r="BE47" s="2">
        <v>1</v>
      </c>
      <c r="BF47">
        <v>1</v>
      </c>
      <c r="BG47" t="s">
        <v>80</v>
      </c>
      <c r="BH47" t="s">
        <v>77</v>
      </c>
      <c r="BI47" t="s">
        <v>81</v>
      </c>
      <c r="BJ47" t="s">
        <v>82</v>
      </c>
      <c r="BK47" t="s">
        <v>83</v>
      </c>
      <c r="BL47" t="s">
        <v>83</v>
      </c>
      <c r="BM47" t="s">
        <v>83</v>
      </c>
      <c r="BN47" t="s">
        <v>79</v>
      </c>
      <c r="BO47" t="s">
        <v>35</v>
      </c>
    </row>
    <row r="48" spans="1:67" x14ac:dyDescent="0.25">
      <c r="A48" s="1">
        <v>46</v>
      </c>
      <c r="B48">
        <v>92801</v>
      </c>
      <c r="C48" t="s">
        <v>193</v>
      </c>
      <c r="D48" t="s">
        <v>70</v>
      </c>
      <c r="E48">
        <v>0</v>
      </c>
      <c r="F48" t="s">
        <v>194</v>
      </c>
      <c r="G48" t="s">
        <v>190</v>
      </c>
      <c r="H48" t="s">
        <v>73</v>
      </c>
      <c r="I48" t="s">
        <v>74</v>
      </c>
      <c r="L48" t="s">
        <v>74</v>
      </c>
      <c r="M48" s="2">
        <v>45603</v>
      </c>
      <c r="N48" s="2">
        <v>1</v>
      </c>
      <c r="O48" s="2">
        <v>1</v>
      </c>
      <c r="P48" s="2">
        <v>1</v>
      </c>
      <c r="Q48" t="s">
        <v>75</v>
      </c>
      <c r="R48" t="s">
        <v>76</v>
      </c>
      <c r="S48">
        <v>2</v>
      </c>
      <c r="T48">
        <v>14.939</v>
      </c>
      <c r="U48">
        <v>5.8440000000000003</v>
      </c>
      <c r="V48">
        <v>10.063000000000001</v>
      </c>
      <c r="X48" t="s">
        <v>77</v>
      </c>
      <c r="Y48" t="s">
        <v>77</v>
      </c>
      <c r="AB48" t="s">
        <v>77</v>
      </c>
      <c r="AC48" s="2">
        <v>45603</v>
      </c>
      <c r="AD48" s="2">
        <v>1</v>
      </c>
      <c r="AE48" s="2">
        <v>1</v>
      </c>
      <c r="AH48" t="s">
        <v>78</v>
      </c>
      <c r="AI48" s="2">
        <v>45607</v>
      </c>
      <c r="AJ48" s="2">
        <v>45615</v>
      </c>
      <c r="AK48" s="2">
        <v>45615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BC48" t="s">
        <v>79</v>
      </c>
      <c r="BE48" s="2">
        <v>1</v>
      </c>
      <c r="BF48">
        <v>1</v>
      </c>
      <c r="BG48" t="s">
        <v>80</v>
      </c>
      <c r="BH48" t="s">
        <v>77</v>
      </c>
      <c r="BI48" t="s">
        <v>81</v>
      </c>
      <c r="BJ48" t="s">
        <v>82</v>
      </c>
      <c r="BK48" t="s">
        <v>83</v>
      </c>
      <c r="BL48" t="s">
        <v>83</v>
      </c>
      <c r="BM48" t="s">
        <v>83</v>
      </c>
      <c r="BN48" t="s">
        <v>79</v>
      </c>
      <c r="BO48" t="s">
        <v>35</v>
      </c>
    </row>
    <row r="49" spans="1:67" x14ac:dyDescent="0.25">
      <c r="A49" s="1">
        <v>47</v>
      </c>
      <c r="B49">
        <v>92802</v>
      </c>
      <c r="C49" t="s">
        <v>195</v>
      </c>
      <c r="D49" t="s">
        <v>70</v>
      </c>
      <c r="E49">
        <v>0</v>
      </c>
      <c r="F49" t="s">
        <v>196</v>
      </c>
      <c r="G49" t="s">
        <v>197</v>
      </c>
      <c r="H49" t="s">
        <v>73</v>
      </c>
      <c r="I49" t="s">
        <v>74</v>
      </c>
      <c r="L49" t="s">
        <v>74</v>
      </c>
      <c r="M49" s="2">
        <v>45603</v>
      </c>
      <c r="N49" s="2">
        <v>1</v>
      </c>
      <c r="O49" s="2">
        <v>1</v>
      </c>
      <c r="P49" s="2">
        <v>1</v>
      </c>
      <c r="Q49" t="s">
        <v>75</v>
      </c>
      <c r="R49" t="s">
        <v>76</v>
      </c>
      <c r="S49">
        <v>1</v>
      </c>
      <c r="T49">
        <v>28.401</v>
      </c>
      <c r="U49">
        <v>19.677</v>
      </c>
      <c r="V49">
        <v>13.045999999999999</v>
      </c>
      <c r="X49" t="s">
        <v>77</v>
      </c>
      <c r="Y49" t="s">
        <v>77</v>
      </c>
      <c r="AB49" t="s">
        <v>77</v>
      </c>
      <c r="AC49" s="2">
        <v>45603</v>
      </c>
      <c r="AD49" s="2">
        <v>1</v>
      </c>
      <c r="AE49" s="2">
        <v>1</v>
      </c>
      <c r="AH49" t="s">
        <v>78</v>
      </c>
      <c r="AI49" s="2">
        <v>45607</v>
      </c>
      <c r="AJ49" s="2">
        <v>45615</v>
      </c>
      <c r="AK49" s="2">
        <v>45615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BC49" t="s">
        <v>79</v>
      </c>
      <c r="BE49" s="2">
        <v>1</v>
      </c>
      <c r="BF49">
        <v>1</v>
      </c>
      <c r="BG49" t="s">
        <v>80</v>
      </c>
      <c r="BH49" t="s">
        <v>77</v>
      </c>
      <c r="BI49" t="s">
        <v>81</v>
      </c>
      <c r="BJ49" t="s">
        <v>82</v>
      </c>
      <c r="BK49" t="s">
        <v>83</v>
      </c>
      <c r="BL49" t="s">
        <v>83</v>
      </c>
      <c r="BM49" t="s">
        <v>83</v>
      </c>
      <c r="BN49" t="s">
        <v>79</v>
      </c>
      <c r="BO49" t="s">
        <v>35</v>
      </c>
    </row>
    <row r="50" spans="1:67" x14ac:dyDescent="0.25">
      <c r="A50" s="1">
        <v>48</v>
      </c>
      <c r="B50">
        <v>92803</v>
      </c>
      <c r="C50" t="s">
        <v>198</v>
      </c>
      <c r="D50" t="s">
        <v>70</v>
      </c>
      <c r="E50">
        <v>0</v>
      </c>
      <c r="F50" t="s">
        <v>199</v>
      </c>
      <c r="G50" t="s">
        <v>197</v>
      </c>
      <c r="H50" t="s">
        <v>73</v>
      </c>
      <c r="I50" t="s">
        <v>74</v>
      </c>
      <c r="L50" t="s">
        <v>74</v>
      </c>
      <c r="M50" s="2">
        <v>45603</v>
      </c>
      <c r="N50" s="2">
        <v>1</v>
      </c>
      <c r="O50" s="2">
        <v>1</v>
      </c>
      <c r="P50" s="2">
        <v>1</v>
      </c>
      <c r="Q50" t="s">
        <v>75</v>
      </c>
      <c r="R50" t="s">
        <v>76</v>
      </c>
      <c r="S50">
        <v>2</v>
      </c>
      <c r="T50">
        <v>59.465000000000003</v>
      </c>
      <c r="U50">
        <v>19.344000000000001</v>
      </c>
      <c r="V50">
        <v>30.187999999999999</v>
      </c>
      <c r="X50" t="s">
        <v>77</v>
      </c>
      <c r="Y50" t="s">
        <v>77</v>
      </c>
      <c r="AB50" t="s">
        <v>77</v>
      </c>
      <c r="AC50" s="2">
        <v>45603</v>
      </c>
      <c r="AD50" s="2">
        <v>1</v>
      </c>
      <c r="AE50" s="2">
        <v>1</v>
      </c>
      <c r="AH50" t="s">
        <v>78</v>
      </c>
      <c r="AI50" s="2">
        <v>45607</v>
      </c>
      <c r="AJ50" s="2">
        <v>45615</v>
      </c>
      <c r="AK50" s="2">
        <v>45615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BC50" t="s">
        <v>79</v>
      </c>
      <c r="BE50" s="2">
        <v>1</v>
      </c>
      <c r="BF50">
        <v>1</v>
      </c>
      <c r="BG50" t="s">
        <v>80</v>
      </c>
      <c r="BH50" t="s">
        <v>77</v>
      </c>
      <c r="BI50" t="s">
        <v>81</v>
      </c>
      <c r="BJ50" t="s">
        <v>82</v>
      </c>
      <c r="BK50" t="s">
        <v>83</v>
      </c>
      <c r="BL50" t="s">
        <v>83</v>
      </c>
      <c r="BM50" t="s">
        <v>83</v>
      </c>
      <c r="BN50" t="s">
        <v>79</v>
      </c>
      <c r="BO50" t="s">
        <v>35</v>
      </c>
    </row>
    <row r="51" spans="1:67" x14ac:dyDescent="0.25">
      <c r="A51" s="1">
        <v>49</v>
      </c>
      <c r="B51">
        <v>92804</v>
      </c>
      <c r="C51" t="s">
        <v>200</v>
      </c>
      <c r="D51" t="s">
        <v>70</v>
      </c>
      <c r="E51">
        <v>0</v>
      </c>
      <c r="F51" t="s">
        <v>201</v>
      </c>
      <c r="G51" t="s">
        <v>202</v>
      </c>
      <c r="H51" t="s">
        <v>73</v>
      </c>
      <c r="I51" t="s">
        <v>74</v>
      </c>
      <c r="L51" t="s">
        <v>74</v>
      </c>
      <c r="M51" s="2">
        <v>45603</v>
      </c>
      <c r="N51" s="2">
        <v>1</v>
      </c>
      <c r="O51" s="2">
        <v>1</v>
      </c>
      <c r="P51" s="2">
        <v>1</v>
      </c>
      <c r="Q51" t="s">
        <v>75</v>
      </c>
      <c r="R51" t="s">
        <v>76</v>
      </c>
      <c r="S51">
        <v>2</v>
      </c>
      <c r="T51">
        <v>66.501000000000005</v>
      </c>
      <c r="U51">
        <v>22.030999999999999</v>
      </c>
      <c r="V51">
        <v>25.155999999999999</v>
      </c>
      <c r="X51" t="s">
        <v>77</v>
      </c>
      <c r="Y51" t="s">
        <v>77</v>
      </c>
      <c r="AB51" t="s">
        <v>77</v>
      </c>
      <c r="AC51" s="2">
        <v>45603</v>
      </c>
      <c r="AD51" s="2">
        <v>1</v>
      </c>
      <c r="AE51" s="2">
        <v>1</v>
      </c>
      <c r="AH51" t="s">
        <v>78</v>
      </c>
      <c r="AI51" s="2">
        <v>45607</v>
      </c>
      <c r="AJ51" s="2">
        <v>45615</v>
      </c>
      <c r="AK51" s="2">
        <v>45615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BC51" t="s">
        <v>79</v>
      </c>
      <c r="BE51" s="2">
        <v>1</v>
      </c>
      <c r="BF51">
        <v>1</v>
      </c>
      <c r="BG51" t="s">
        <v>80</v>
      </c>
      <c r="BH51" t="s">
        <v>77</v>
      </c>
      <c r="BI51" t="s">
        <v>81</v>
      </c>
      <c r="BJ51" t="s">
        <v>82</v>
      </c>
      <c r="BK51" t="s">
        <v>83</v>
      </c>
      <c r="BL51" t="s">
        <v>83</v>
      </c>
      <c r="BM51" t="s">
        <v>83</v>
      </c>
      <c r="BN51" t="s">
        <v>79</v>
      </c>
      <c r="BO51" t="s">
        <v>35</v>
      </c>
    </row>
    <row r="52" spans="1:67" x14ac:dyDescent="0.25">
      <c r="A52" s="1">
        <v>50</v>
      </c>
      <c r="B52">
        <v>92805</v>
      </c>
      <c r="C52" t="s">
        <v>203</v>
      </c>
      <c r="D52" t="s">
        <v>70</v>
      </c>
      <c r="E52">
        <v>0</v>
      </c>
      <c r="F52" t="s">
        <v>204</v>
      </c>
      <c r="G52" t="s">
        <v>202</v>
      </c>
      <c r="H52" t="s">
        <v>73</v>
      </c>
      <c r="I52" t="s">
        <v>74</v>
      </c>
      <c r="L52" t="s">
        <v>74</v>
      </c>
      <c r="M52" s="2">
        <v>45603</v>
      </c>
      <c r="N52" s="2">
        <v>1</v>
      </c>
      <c r="O52" s="2">
        <v>1</v>
      </c>
      <c r="P52" s="2">
        <v>1</v>
      </c>
      <c r="Q52" t="s">
        <v>75</v>
      </c>
      <c r="R52" t="s">
        <v>76</v>
      </c>
      <c r="S52">
        <v>2</v>
      </c>
      <c r="T52">
        <v>39.606000000000002</v>
      </c>
      <c r="U52">
        <v>13.244999999999999</v>
      </c>
      <c r="V52">
        <v>25.155999999999999</v>
      </c>
      <c r="X52" t="s">
        <v>77</v>
      </c>
      <c r="Y52" t="s">
        <v>77</v>
      </c>
      <c r="AB52" t="s">
        <v>77</v>
      </c>
      <c r="AC52" s="2">
        <v>45603</v>
      </c>
      <c r="AD52" s="2">
        <v>1</v>
      </c>
      <c r="AE52" s="2">
        <v>1</v>
      </c>
      <c r="AH52" t="s">
        <v>78</v>
      </c>
      <c r="AI52" s="2">
        <v>45607</v>
      </c>
      <c r="AJ52" s="2">
        <v>45615</v>
      </c>
      <c r="AK52" s="2">
        <v>45615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BC52" t="s">
        <v>79</v>
      </c>
      <c r="BE52" s="2">
        <v>1</v>
      </c>
      <c r="BF52">
        <v>1</v>
      </c>
      <c r="BG52" t="s">
        <v>80</v>
      </c>
      <c r="BH52" t="s">
        <v>77</v>
      </c>
      <c r="BI52" t="s">
        <v>81</v>
      </c>
      <c r="BJ52" t="s">
        <v>82</v>
      </c>
      <c r="BK52" t="s">
        <v>83</v>
      </c>
      <c r="BL52" t="s">
        <v>83</v>
      </c>
      <c r="BM52" t="s">
        <v>83</v>
      </c>
      <c r="BN52" t="s">
        <v>79</v>
      </c>
      <c r="BO52" t="s">
        <v>35</v>
      </c>
    </row>
    <row r="53" spans="1:67" x14ac:dyDescent="0.25">
      <c r="A53" s="1">
        <v>51</v>
      </c>
      <c r="B53">
        <v>92806</v>
      </c>
      <c r="C53" t="s">
        <v>205</v>
      </c>
      <c r="D53" t="s">
        <v>70</v>
      </c>
      <c r="E53">
        <v>0</v>
      </c>
      <c r="F53" t="s">
        <v>206</v>
      </c>
      <c r="G53" t="s">
        <v>202</v>
      </c>
      <c r="H53" t="s">
        <v>73</v>
      </c>
      <c r="I53" t="s">
        <v>74</v>
      </c>
      <c r="L53" t="s">
        <v>74</v>
      </c>
      <c r="M53" s="2">
        <v>45603</v>
      </c>
      <c r="N53" s="2">
        <v>1</v>
      </c>
      <c r="O53" s="2">
        <v>1</v>
      </c>
      <c r="P53" s="2">
        <v>1</v>
      </c>
      <c r="Q53" t="s">
        <v>75</v>
      </c>
      <c r="R53" t="s">
        <v>76</v>
      </c>
      <c r="S53">
        <v>2</v>
      </c>
      <c r="T53">
        <v>18.335000000000001</v>
      </c>
      <c r="U53">
        <v>7.8440000000000003</v>
      </c>
      <c r="V53">
        <v>20.125</v>
      </c>
      <c r="X53" t="s">
        <v>77</v>
      </c>
      <c r="Y53" t="s">
        <v>77</v>
      </c>
      <c r="AB53" t="s">
        <v>77</v>
      </c>
      <c r="AC53" s="2">
        <v>45603</v>
      </c>
      <c r="AD53" s="2">
        <v>1</v>
      </c>
      <c r="AE53" s="2">
        <v>1</v>
      </c>
      <c r="AH53" t="s">
        <v>78</v>
      </c>
      <c r="AI53" s="2">
        <v>45607</v>
      </c>
      <c r="AJ53" s="2">
        <v>45615</v>
      </c>
      <c r="AK53" s="2">
        <v>45615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BC53" t="s">
        <v>79</v>
      </c>
      <c r="BE53" s="2">
        <v>1</v>
      </c>
      <c r="BF53">
        <v>1</v>
      </c>
      <c r="BG53" t="s">
        <v>80</v>
      </c>
      <c r="BH53" t="s">
        <v>77</v>
      </c>
      <c r="BI53" t="s">
        <v>81</v>
      </c>
      <c r="BJ53" t="s">
        <v>82</v>
      </c>
      <c r="BK53" t="s">
        <v>83</v>
      </c>
      <c r="BL53" t="s">
        <v>83</v>
      </c>
      <c r="BM53" t="s">
        <v>83</v>
      </c>
      <c r="BN53" t="s">
        <v>79</v>
      </c>
      <c r="BO53" t="s">
        <v>35</v>
      </c>
    </row>
    <row r="54" spans="1:67" x14ac:dyDescent="0.25">
      <c r="A54" s="1">
        <v>52</v>
      </c>
      <c r="B54">
        <v>92807</v>
      </c>
      <c r="C54" t="s">
        <v>207</v>
      </c>
      <c r="D54" t="s">
        <v>70</v>
      </c>
      <c r="E54">
        <v>0</v>
      </c>
      <c r="F54" t="s">
        <v>208</v>
      </c>
      <c r="G54" t="s">
        <v>202</v>
      </c>
      <c r="H54" t="s">
        <v>73</v>
      </c>
      <c r="I54" t="s">
        <v>74</v>
      </c>
      <c r="L54" t="s">
        <v>74</v>
      </c>
      <c r="M54" s="2">
        <v>45603</v>
      </c>
      <c r="N54" s="2">
        <v>1</v>
      </c>
      <c r="O54" s="2">
        <v>1</v>
      </c>
      <c r="P54" s="2">
        <v>1</v>
      </c>
      <c r="Q54" t="s">
        <v>75</v>
      </c>
      <c r="R54" t="s">
        <v>76</v>
      </c>
      <c r="S54">
        <v>2</v>
      </c>
      <c r="T54">
        <v>13.669</v>
      </c>
      <c r="U54">
        <v>5.5</v>
      </c>
      <c r="V54">
        <v>5.0309999999999997</v>
      </c>
      <c r="X54" t="s">
        <v>77</v>
      </c>
      <c r="Y54" t="s">
        <v>77</v>
      </c>
      <c r="AB54" t="s">
        <v>77</v>
      </c>
      <c r="AC54" s="2">
        <v>45603</v>
      </c>
      <c r="AD54" s="2">
        <v>1</v>
      </c>
      <c r="AE54" s="2">
        <v>1</v>
      </c>
      <c r="AH54" t="s">
        <v>78</v>
      </c>
      <c r="AI54" s="2">
        <v>45607</v>
      </c>
      <c r="AJ54" s="2">
        <v>45615</v>
      </c>
      <c r="AK54" s="2">
        <v>45615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BC54" t="s">
        <v>79</v>
      </c>
      <c r="BE54" s="2">
        <v>1</v>
      </c>
      <c r="BF54">
        <v>1</v>
      </c>
      <c r="BG54" t="s">
        <v>80</v>
      </c>
      <c r="BH54" t="s">
        <v>77</v>
      </c>
      <c r="BI54" t="s">
        <v>81</v>
      </c>
      <c r="BJ54" t="s">
        <v>82</v>
      </c>
      <c r="BK54" t="s">
        <v>83</v>
      </c>
      <c r="BL54" t="s">
        <v>83</v>
      </c>
      <c r="BM54" t="s">
        <v>83</v>
      </c>
      <c r="BN54" t="s">
        <v>79</v>
      </c>
      <c r="BO54" t="s">
        <v>35</v>
      </c>
    </row>
    <row r="55" spans="1:67" x14ac:dyDescent="0.25">
      <c r="A55" s="1">
        <v>53</v>
      </c>
      <c r="B55">
        <v>92808</v>
      </c>
      <c r="C55" t="s">
        <v>209</v>
      </c>
      <c r="D55" t="s">
        <v>70</v>
      </c>
      <c r="E55">
        <v>0</v>
      </c>
      <c r="F55" t="s">
        <v>210</v>
      </c>
      <c r="G55" t="s">
        <v>202</v>
      </c>
      <c r="H55" t="s">
        <v>73</v>
      </c>
      <c r="I55" t="s">
        <v>74</v>
      </c>
      <c r="L55" t="s">
        <v>74</v>
      </c>
      <c r="M55" s="2">
        <v>45603</v>
      </c>
      <c r="N55" s="2">
        <v>1</v>
      </c>
      <c r="O55" s="2">
        <v>1</v>
      </c>
      <c r="P55" s="2">
        <v>1</v>
      </c>
      <c r="Q55" t="s">
        <v>75</v>
      </c>
      <c r="R55" t="s">
        <v>76</v>
      </c>
      <c r="S55">
        <v>2</v>
      </c>
      <c r="T55">
        <v>29.516999999999999</v>
      </c>
      <c r="U55">
        <v>9.4320000000000004</v>
      </c>
      <c r="V55">
        <v>10.063000000000001</v>
      </c>
      <c r="X55" t="s">
        <v>77</v>
      </c>
      <c r="Y55" t="s">
        <v>77</v>
      </c>
      <c r="AB55" t="s">
        <v>77</v>
      </c>
      <c r="AC55" s="2">
        <v>45603</v>
      </c>
      <c r="AD55" s="2">
        <v>1</v>
      </c>
      <c r="AE55" s="2">
        <v>1</v>
      </c>
      <c r="AH55" t="s">
        <v>78</v>
      </c>
      <c r="AI55" s="2">
        <v>45607</v>
      </c>
      <c r="AJ55" s="2">
        <v>45615</v>
      </c>
      <c r="AK55" s="2">
        <v>45615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BC55" t="s">
        <v>79</v>
      </c>
      <c r="BE55" s="2">
        <v>1</v>
      </c>
      <c r="BF55">
        <v>1</v>
      </c>
      <c r="BG55" t="s">
        <v>80</v>
      </c>
      <c r="BH55" t="s">
        <v>77</v>
      </c>
      <c r="BI55" t="s">
        <v>81</v>
      </c>
      <c r="BJ55" t="s">
        <v>82</v>
      </c>
      <c r="BK55" t="s">
        <v>83</v>
      </c>
      <c r="BL55" t="s">
        <v>83</v>
      </c>
      <c r="BM55" t="s">
        <v>83</v>
      </c>
      <c r="BN55" t="s">
        <v>79</v>
      </c>
      <c r="BO55" t="s">
        <v>35</v>
      </c>
    </row>
    <row r="56" spans="1:67" x14ac:dyDescent="0.25">
      <c r="A56" s="1">
        <v>54</v>
      </c>
      <c r="B56">
        <v>92809</v>
      </c>
      <c r="C56" t="s">
        <v>211</v>
      </c>
      <c r="D56" t="s">
        <v>70</v>
      </c>
      <c r="E56">
        <v>0</v>
      </c>
      <c r="F56" t="s">
        <v>212</v>
      </c>
      <c r="G56" t="s">
        <v>202</v>
      </c>
      <c r="H56" t="s">
        <v>73</v>
      </c>
      <c r="I56" t="s">
        <v>74</v>
      </c>
      <c r="L56" t="s">
        <v>74</v>
      </c>
      <c r="M56" s="2">
        <v>45603</v>
      </c>
      <c r="N56" s="2">
        <v>1</v>
      </c>
      <c r="O56" s="2">
        <v>1</v>
      </c>
      <c r="P56" s="2">
        <v>1</v>
      </c>
      <c r="Q56" t="s">
        <v>75</v>
      </c>
      <c r="R56" t="s">
        <v>76</v>
      </c>
      <c r="S56">
        <v>2</v>
      </c>
      <c r="T56">
        <v>13.669</v>
      </c>
      <c r="U56">
        <v>5.5</v>
      </c>
      <c r="V56">
        <v>10.063000000000001</v>
      </c>
      <c r="X56" t="s">
        <v>77</v>
      </c>
      <c r="Y56" t="s">
        <v>77</v>
      </c>
      <c r="AB56" t="s">
        <v>77</v>
      </c>
      <c r="AC56" s="2">
        <v>45603</v>
      </c>
      <c r="AD56" s="2">
        <v>1</v>
      </c>
      <c r="AE56" s="2">
        <v>1</v>
      </c>
      <c r="AH56" t="s">
        <v>78</v>
      </c>
      <c r="AI56" s="2">
        <v>45607</v>
      </c>
      <c r="AJ56" s="2">
        <v>45615</v>
      </c>
      <c r="AK56" s="2">
        <v>45615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BC56" t="s">
        <v>79</v>
      </c>
      <c r="BE56" s="2">
        <v>1</v>
      </c>
      <c r="BF56">
        <v>1</v>
      </c>
      <c r="BG56" t="s">
        <v>80</v>
      </c>
      <c r="BH56" t="s">
        <v>77</v>
      </c>
      <c r="BI56" t="s">
        <v>81</v>
      </c>
      <c r="BJ56" t="s">
        <v>82</v>
      </c>
      <c r="BK56" t="s">
        <v>83</v>
      </c>
      <c r="BL56" t="s">
        <v>83</v>
      </c>
      <c r="BM56" t="s">
        <v>83</v>
      </c>
      <c r="BN56" t="s">
        <v>79</v>
      </c>
      <c r="BO56" t="s">
        <v>35</v>
      </c>
    </row>
    <row r="57" spans="1:67" x14ac:dyDescent="0.25">
      <c r="A57" s="1">
        <v>55</v>
      </c>
      <c r="B57">
        <v>92815</v>
      </c>
      <c r="C57" t="s">
        <v>213</v>
      </c>
      <c r="D57" t="s">
        <v>70</v>
      </c>
      <c r="E57">
        <v>0</v>
      </c>
      <c r="F57" t="s">
        <v>214</v>
      </c>
      <c r="G57" t="s">
        <v>215</v>
      </c>
      <c r="H57" t="s">
        <v>73</v>
      </c>
      <c r="I57" t="s">
        <v>74</v>
      </c>
      <c r="L57" t="s">
        <v>74</v>
      </c>
      <c r="M57" s="2">
        <v>45603</v>
      </c>
      <c r="N57" s="2">
        <v>1</v>
      </c>
      <c r="O57" s="2">
        <v>1</v>
      </c>
      <c r="P57" s="2">
        <v>1</v>
      </c>
      <c r="Q57" t="s">
        <v>75</v>
      </c>
      <c r="R57" t="s">
        <v>76</v>
      </c>
      <c r="S57">
        <v>3</v>
      </c>
      <c r="T57">
        <v>45.112000000000002</v>
      </c>
      <c r="U57">
        <v>7.4180000000000001</v>
      </c>
      <c r="V57">
        <v>12.25</v>
      </c>
      <c r="X57" t="s">
        <v>77</v>
      </c>
      <c r="Y57" t="s">
        <v>77</v>
      </c>
      <c r="AB57" t="s">
        <v>77</v>
      </c>
      <c r="AC57" s="2">
        <v>45603</v>
      </c>
      <c r="AD57" s="2">
        <v>1</v>
      </c>
      <c r="AE57" s="2">
        <v>1</v>
      </c>
      <c r="AH57" t="s">
        <v>78</v>
      </c>
      <c r="AI57" s="2">
        <v>45607</v>
      </c>
      <c r="AJ57" s="2">
        <v>45611</v>
      </c>
      <c r="AK57" s="2">
        <v>45615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U57" s="2">
        <v>1</v>
      </c>
      <c r="AV57" s="2">
        <v>1</v>
      </c>
      <c r="AW57" s="2">
        <v>1</v>
      </c>
      <c r="AX57" s="2">
        <v>1</v>
      </c>
      <c r="BC57" t="s">
        <v>79</v>
      </c>
      <c r="BE57" s="2">
        <v>1</v>
      </c>
      <c r="BF57">
        <v>1</v>
      </c>
      <c r="BG57" t="s">
        <v>80</v>
      </c>
      <c r="BH57" t="s">
        <v>77</v>
      </c>
      <c r="BI57" t="s">
        <v>81</v>
      </c>
      <c r="BJ57" t="s">
        <v>82</v>
      </c>
      <c r="BK57" t="s">
        <v>83</v>
      </c>
      <c r="BL57" t="s">
        <v>83</v>
      </c>
      <c r="BM57" t="s">
        <v>83</v>
      </c>
      <c r="BO57" t="s">
        <v>35</v>
      </c>
    </row>
    <row r="58" spans="1:67" x14ac:dyDescent="0.25">
      <c r="A58" s="1">
        <v>56</v>
      </c>
      <c r="B58">
        <v>92824</v>
      </c>
      <c r="C58" t="s">
        <v>216</v>
      </c>
      <c r="D58" t="s">
        <v>70</v>
      </c>
      <c r="E58">
        <v>0</v>
      </c>
      <c r="F58" t="s">
        <v>217</v>
      </c>
      <c r="G58" t="s">
        <v>218</v>
      </c>
      <c r="H58" t="s">
        <v>73</v>
      </c>
      <c r="I58" t="s">
        <v>74</v>
      </c>
      <c r="L58" t="s">
        <v>74</v>
      </c>
      <c r="M58" s="2">
        <v>45603</v>
      </c>
      <c r="N58" s="2">
        <v>1</v>
      </c>
      <c r="O58" s="2">
        <v>1</v>
      </c>
      <c r="P58" s="2">
        <v>1</v>
      </c>
      <c r="Q58" t="s">
        <v>75</v>
      </c>
      <c r="R58" t="s">
        <v>76</v>
      </c>
      <c r="S58">
        <v>3</v>
      </c>
      <c r="T58">
        <v>28.033999999999999</v>
      </c>
      <c r="U58">
        <v>5.5</v>
      </c>
      <c r="V58">
        <v>6.125</v>
      </c>
      <c r="X58" t="s">
        <v>77</v>
      </c>
      <c r="Y58" t="s">
        <v>77</v>
      </c>
      <c r="AB58" t="s">
        <v>77</v>
      </c>
      <c r="AC58" s="2">
        <v>45603</v>
      </c>
      <c r="AD58" s="2">
        <v>1</v>
      </c>
      <c r="AE58" s="2">
        <v>1</v>
      </c>
      <c r="AH58" t="s">
        <v>78</v>
      </c>
      <c r="AI58" s="2">
        <v>45608</v>
      </c>
      <c r="AJ58" s="2">
        <v>45611</v>
      </c>
      <c r="AK58" s="2">
        <v>45615</v>
      </c>
      <c r="AL58" s="2">
        <v>1</v>
      </c>
      <c r="AM58" s="2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U58" s="2">
        <v>1</v>
      </c>
      <c r="AV58" s="2">
        <v>1</v>
      </c>
      <c r="AW58" s="2">
        <v>1</v>
      </c>
      <c r="AX58" s="2">
        <v>1</v>
      </c>
      <c r="BC58" t="s">
        <v>79</v>
      </c>
      <c r="BE58" s="2">
        <v>1</v>
      </c>
      <c r="BF58">
        <v>1</v>
      </c>
      <c r="BG58" t="s">
        <v>80</v>
      </c>
      <c r="BH58" t="s">
        <v>77</v>
      </c>
      <c r="BI58" t="s">
        <v>81</v>
      </c>
      <c r="BJ58" t="s">
        <v>82</v>
      </c>
      <c r="BK58" t="s">
        <v>83</v>
      </c>
      <c r="BL58" t="s">
        <v>83</v>
      </c>
      <c r="BM58" t="s">
        <v>83</v>
      </c>
      <c r="BO58" t="s">
        <v>35</v>
      </c>
    </row>
    <row r="59" spans="1:67" x14ac:dyDescent="0.25">
      <c r="A59" s="1">
        <v>57</v>
      </c>
      <c r="B59">
        <v>92829</v>
      </c>
      <c r="C59" t="s">
        <v>219</v>
      </c>
      <c r="D59" t="s">
        <v>70</v>
      </c>
      <c r="E59">
        <v>0</v>
      </c>
      <c r="F59" t="s">
        <v>220</v>
      </c>
      <c r="G59" t="s">
        <v>221</v>
      </c>
      <c r="H59" t="s">
        <v>73</v>
      </c>
      <c r="I59" t="s">
        <v>74</v>
      </c>
      <c r="L59" t="s">
        <v>74</v>
      </c>
      <c r="M59" s="2">
        <v>45603</v>
      </c>
      <c r="N59" s="2">
        <v>1</v>
      </c>
      <c r="O59" s="2">
        <v>1</v>
      </c>
      <c r="P59" s="2">
        <v>1</v>
      </c>
      <c r="Q59" t="s">
        <v>75</v>
      </c>
      <c r="R59" t="s">
        <v>76</v>
      </c>
      <c r="S59">
        <v>3</v>
      </c>
      <c r="T59">
        <v>38.121000000000002</v>
      </c>
      <c r="U59">
        <v>8</v>
      </c>
      <c r="V59">
        <v>28.875</v>
      </c>
      <c r="X59" t="s">
        <v>77</v>
      </c>
      <c r="Y59" t="s">
        <v>77</v>
      </c>
      <c r="AB59" t="s">
        <v>77</v>
      </c>
      <c r="AC59" s="2">
        <v>45603</v>
      </c>
      <c r="AD59" s="2">
        <v>1</v>
      </c>
      <c r="AE59" s="2">
        <v>1</v>
      </c>
      <c r="AH59" t="s">
        <v>78</v>
      </c>
      <c r="AI59" s="2">
        <v>45608</v>
      </c>
      <c r="AJ59" s="2">
        <v>45614</v>
      </c>
      <c r="AK59" s="2">
        <v>45615</v>
      </c>
      <c r="AL59" s="2">
        <v>1</v>
      </c>
      <c r="AM59" s="2">
        <v>1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1</v>
      </c>
      <c r="BC59" t="s">
        <v>79</v>
      </c>
      <c r="BE59" s="2">
        <v>1</v>
      </c>
      <c r="BF59">
        <v>1</v>
      </c>
      <c r="BG59" t="s">
        <v>80</v>
      </c>
      <c r="BH59" t="s">
        <v>77</v>
      </c>
      <c r="BI59" t="s">
        <v>81</v>
      </c>
      <c r="BJ59" t="s">
        <v>82</v>
      </c>
      <c r="BK59" t="s">
        <v>83</v>
      </c>
      <c r="BL59" t="s">
        <v>83</v>
      </c>
      <c r="BM59" t="s">
        <v>83</v>
      </c>
      <c r="BN59" t="s">
        <v>79</v>
      </c>
      <c r="BO59" t="s">
        <v>35</v>
      </c>
    </row>
    <row r="60" spans="1:67" x14ac:dyDescent="0.25">
      <c r="A60" s="1">
        <v>58</v>
      </c>
      <c r="B60">
        <v>92832</v>
      </c>
      <c r="C60" t="s">
        <v>222</v>
      </c>
      <c r="D60" t="s">
        <v>70</v>
      </c>
      <c r="E60">
        <v>0</v>
      </c>
      <c r="F60" t="s">
        <v>223</v>
      </c>
      <c r="G60" t="s">
        <v>224</v>
      </c>
      <c r="H60" t="s">
        <v>73</v>
      </c>
      <c r="I60" t="s">
        <v>74</v>
      </c>
      <c r="L60" t="s">
        <v>74</v>
      </c>
      <c r="M60" s="2">
        <v>45603</v>
      </c>
      <c r="N60" s="2">
        <v>1</v>
      </c>
      <c r="O60" s="2">
        <v>1</v>
      </c>
      <c r="P60" s="2">
        <v>1</v>
      </c>
      <c r="Q60" t="s">
        <v>75</v>
      </c>
      <c r="R60" t="s">
        <v>76</v>
      </c>
      <c r="S60">
        <v>3</v>
      </c>
      <c r="T60">
        <v>19.593</v>
      </c>
      <c r="U60">
        <v>3.0419999999999998</v>
      </c>
      <c r="V60">
        <v>6.125</v>
      </c>
      <c r="X60" t="s">
        <v>77</v>
      </c>
      <c r="Y60" t="s">
        <v>77</v>
      </c>
      <c r="AB60" t="s">
        <v>77</v>
      </c>
      <c r="AC60" s="2">
        <v>45603</v>
      </c>
      <c r="AD60" s="2">
        <v>1</v>
      </c>
      <c r="AE60" s="2">
        <v>1</v>
      </c>
      <c r="AH60" t="s">
        <v>78</v>
      </c>
      <c r="AI60" s="2">
        <v>45608</v>
      </c>
      <c r="AJ60" s="2">
        <v>45614</v>
      </c>
      <c r="AK60" s="2">
        <v>45614</v>
      </c>
      <c r="AL60" s="2">
        <v>45614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BC60" t="s">
        <v>79</v>
      </c>
      <c r="BE60" s="2">
        <v>1</v>
      </c>
      <c r="BF60">
        <v>1</v>
      </c>
      <c r="BG60" t="s">
        <v>80</v>
      </c>
      <c r="BH60" t="s">
        <v>77</v>
      </c>
      <c r="BI60" t="s">
        <v>81</v>
      </c>
      <c r="BJ60" t="s">
        <v>82</v>
      </c>
      <c r="BK60" t="s">
        <v>83</v>
      </c>
      <c r="BL60" t="s">
        <v>83</v>
      </c>
      <c r="BM60" t="s">
        <v>83</v>
      </c>
      <c r="BN60" t="s">
        <v>79</v>
      </c>
      <c r="BO60" t="s">
        <v>36</v>
      </c>
    </row>
  </sheetData>
  <autoFilter ref="B1:BR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C85B-6BB0-4694-AFC7-F2003712BF1E}">
  <sheetPr filterMode="1"/>
  <dimension ref="A1:B67"/>
  <sheetViews>
    <sheetView workbookViewId="0">
      <selection sqref="A1:B67"/>
    </sheetView>
  </sheetViews>
  <sheetFormatPr defaultRowHeight="15" x14ac:dyDescent="0.25"/>
  <cols>
    <col min="1" max="1" width="23.5703125" customWidth="1"/>
  </cols>
  <sheetData>
    <row r="1" spans="1:2" x14ac:dyDescent="0.25">
      <c r="A1" t="s">
        <v>225</v>
      </c>
      <c r="B1" t="s">
        <v>226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3</v>
      </c>
    </row>
    <row r="4" spans="1:2" x14ac:dyDescent="0.25">
      <c r="A4" s="1" t="s">
        <v>2</v>
      </c>
      <c r="B4">
        <v>2</v>
      </c>
    </row>
    <row r="5" spans="1:2" x14ac:dyDescent="0.25">
      <c r="A5" s="1" t="s">
        <v>3</v>
      </c>
      <c r="B5">
        <v>4</v>
      </c>
    </row>
    <row r="6" spans="1:2" x14ac:dyDescent="0.25">
      <c r="A6" s="1" t="s">
        <v>4</v>
      </c>
      <c r="B6">
        <v>5</v>
      </c>
    </row>
    <row r="7" spans="1:2" x14ac:dyDescent="0.25">
      <c r="A7" s="1" t="s">
        <v>5</v>
      </c>
      <c r="B7">
        <v>6</v>
      </c>
    </row>
    <row r="8" spans="1:2" x14ac:dyDescent="0.25">
      <c r="A8" s="1" t="s">
        <v>6</v>
      </c>
      <c r="B8">
        <v>7</v>
      </c>
    </row>
    <row r="9" spans="1:2" hidden="1" x14ac:dyDescent="0.25">
      <c r="A9" s="1" t="s">
        <v>7</v>
      </c>
    </row>
    <row r="10" spans="1:2" hidden="1" x14ac:dyDescent="0.25">
      <c r="A10" s="1" t="s">
        <v>8</v>
      </c>
    </row>
    <row r="11" spans="1:2" hidden="1" x14ac:dyDescent="0.25">
      <c r="A11" s="1" t="s">
        <v>9</v>
      </c>
    </row>
    <row r="12" spans="1:2" hidden="1" x14ac:dyDescent="0.25">
      <c r="A12" s="1" t="s">
        <v>10</v>
      </c>
    </row>
    <row r="13" spans="1:2" hidden="1" x14ac:dyDescent="0.25">
      <c r="A13" s="1" t="s">
        <v>11</v>
      </c>
    </row>
    <row r="14" spans="1:2" hidden="1" x14ac:dyDescent="0.25">
      <c r="A14" s="1" t="s">
        <v>12</v>
      </c>
    </row>
    <row r="15" spans="1:2" hidden="1" x14ac:dyDescent="0.25">
      <c r="A15" s="1" t="s">
        <v>13</v>
      </c>
    </row>
    <row r="16" spans="1:2" hidden="1" x14ac:dyDescent="0.25">
      <c r="A16" s="1" t="s">
        <v>14</v>
      </c>
    </row>
    <row r="17" spans="1:2" x14ac:dyDescent="0.25">
      <c r="A17" s="1" t="s">
        <v>15</v>
      </c>
      <c r="B17">
        <v>8</v>
      </c>
    </row>
    <row r="18" spans="1:2" x14ac:dyDescent="0.25">
      <c r="A18" s="1" t="s">
        <v>16</v>
      </c>
      <c r="B18">
        <v>9</v>
      </c>
    </row>
    <row r="19" spans="1:2" x14ac:dyDescent="0.25">
      <c r="A19" s="1" t="s">
        <v>17</v>
      </c>
      <c r="B19">
        <v>10</v>
      </c>
    </row>
    <row r="20" spans="1:2" hidden="1" x14ac:dyDescent="0.25">
      <c r="A20" s="1" t="s">
        <v>18</v>
      </c>
    </row>
    <row r="21" spans="1:2" hidden="1" x14ac:dyDescent="0.25">
      <c r="A21" s="1" t="s">
        <v>19</v>
      </c>
    </row>
    <row r="22" spans="1:2" hidden="1" x14ac:dyDescent="0.25">
      <c r="A22" s="1" t="s">
        <v>20</v>
      </c>
    </row>
    <row r="23" spans="1:2" hidden="1" x14ac:dyDescent="0.25">
      <c r="A23" s="1" t="s">
        <v>21</v>
      </c>
    </row>
    <row r="24" spans="1:2" x14ac:dyDescent="0.25">
      <c r="A24" s="1" t="s">
        <v>22</v>
      </c>
      <c r="B24">
        <v>11</v>
      </c>
    </row>
    <row r="25" spans="1:2" x14ac:dyDescent="0.25">
      <c r="A25" s="1" t="s">
        <v>23</v>
      </c>
      <c r="B25">
        <v>12</v>
      </c>
    </row>
    <row r="26" spans="1:2" x14ac:dyDescent="0.25">
      <c r="A26" s="1" t="s">
        <v>24</v>
      </c>
      <c r="B26">
        <v>13</v>
      </c>
    </row>
    <row r="27" spans="1:2" x14ac:dyDescent="0.25">
      <c r="A27" s="1" t="s">
        <v>25</v>
      </c>
      <c r="B27">
        <v>14</v>
      </c>
    </row>
    <row r="28" spans="1:2" hidden="1" x14ac:dyDescent="0.25">
      <c r="A28" s="1" t="s">
        <v>26</v>
      </c>
    </row>
    <row r="29" spans="1:2" hidden="1" x14ac:dyDescent="0.25">
      <c r="A29" s="1" t="s">
        <v>27</v>
      </c>
    </row>
    <row r="30" spans="1:2" hidden="1" x14ac:dyDescent="0.25">
      <c r="A30" s="1" t="s">
        <v>28</v>
      </c>
    </row>
    <row r="31" spans="1:2" hidden="1" x14ac:dyDescent="0.25">
      <c r="A31" s="1" t="s">
        <v>29</v>
      </c>
    </row>
    <row r="32" spans="1:2" hidden="1" x14ac:dyDescent="0.25">
      <c r="A32" s="1" t="s">
        <v>30</v>
      </c>
    </row>
    <row r="33" spans="1:1" hidden="1" x14ac:dyDescent="0.25">
      <c r="A33" s="1" t="s">
        <v>31</v>
      </c>
    </row>
    <row r="34" spans="1:1" hidden="1" x14ac:dyDescent="0.25">
      <c r="A34" s="1" t="s">
        <v>32</v>
      </c>
    </row>
    <row r="35" spans="1:1" hidden="1" x14ac:dyDescent="0.25">
      <c r="A35" s="1" t="s">
        <v>33</v>
      </c>
    </row>
    <row r="36" spans="1:1" hidden="1" x14ac:dyDescent="0.25">
      <c r="A36" s="1" t="s">
        <v>34</v>
      </c>
    </row>
    <row r="37" spans="1:1" hidden="1" x14ac:dyDescent="0.25">
      <c r="A37" s="1" t="s">
        <v>35</v>
      </c>
    </row>
    <row r="38" spans="1:1" hidden="1" x14ac:dyDescent="0.25">
      <c r="A38" s="1" t="s">
        <v>36</v>
      </c>
    </row>
    <row r="39" spans="1:1" hidden="1" x14ac:dyDescent="0.25">
      <c r="A39" s="1" t="s">
        <v>37</v>
      </c>
    </row>
    <row r="40" spans="1:1" hidden="1" x14ac:dyDescent="0.25">
      <c r="A40" s="1" t="s">
        <v>38</v>
      </c>
    </row>
    <row r="41" spans="1:1" hidden="1" x14ac:dyDescent="0.25">
      <c r="A41" s="1" t="s">
        <v>39</v>
      </c>
    </row>
    <row r="42" spans="1:1" hidden="1" x14ac:dyDescent="0.25">
      <c r="A42" s="1" t="s">
        <v>40</v>
      </c>
    </row>
    <row r="43" spans="1:1" hidden="1" x14ac:dyDescent="0.25">
      <c r="A43" s="1" t="s">
        <v>41</v>
      </c>
    </row>
    <row r="44" spans="1:1" hidden="1" x14ac:dyDescent="0.25">
      <c r="A44" s="1" t="s">
        <v>42</v>
      </c>
    </row>
    <row r="45" spans="1:1" hidden="1" x14ac:dyDescent="0.25">
      <c r="A45" s="1" t="s">
        <v>43</v>
      </c>
    </row>
    <row r="46" spans="1:1" hidden="1" x14ac:dyDescent="0.25">
      <c r="A46" s="1" t="s">
        <v>44</v>
      </c>
    </row>
    <row r="47" spans="1:1" hidden="1" x14ac:dyDescent="0.25">
      <c r="A47" s="1" t="s">
        <v>45</v>
      </c>
    </row>
    <row r="48" spans="1:1" hidden="1" x14ac:dyDescent="0.25">
      <c r="A48" s="1" t="s">
        <v>46</v>
      </c>
    </row>
    <row r="49" spans="1:2" hidden="1" x14ac:dyDescent="0.25">
      <c r="A49" s="1" t="s">
        <v>47</v>
      </c>
    </row>
    <row r="50" spans="1:2" hidden="1" x14ac:dyDescent="0.25">
      <c r="A50" s="1" t="s">
        <v>48</v>
      </c>
    </row>
    <row r="51" spans="1:2" hidden="1" x14ac:dyDescent="0.25">
      <c r="A51" s="1" t="s">
        <v>49</v>
      </c>
    </row>
    <row r="52" spans="1:2" hidden="1" x14ac:dyDescent="0.25">
      <c r="A52" s="1" t="s">
        <v>50</v>
      </c>
    </row>
    <row r="53" spans="1:2" hidden="1" x14ac:dyDescent="0.25">
      <c r="A53" s="1" t="s">
        <v>51</v>
      </c>
    </row>
    <row r="54" spans="1:2" x14ac:dyDescent="0.25">
      <c r="A54" s="1" t="s">
        <v>52</v>
      </c>
      <c r="B54">
        <v>15</v>
      </c>
    </row>
    <row r="55" spans="1:2" hidden="1" x14ac:dyDescent="0.25">
      <c r="A55" s="1" t="s">
        <v>53</v>
      </c>
    </row>
    <row r="56" spans="1:2" hidden="1" x14ac:dyDescent="0.25">
      <c r="A56" s="1" t="s">
        <v>54</v>
      </c>
    </row>
    <row r="57" spans="1:2" hidden="1" x14ac:dyDescent="0.25">
      <c r="A57" s="1" t="s">
        <v>55</v>
      </c>
    </row>
    <row r="58" spans="1:2" hidden="1" x14ac:dyDescent="0.25">
      <c r="A58" s="1" t="s">
        <v>56</v>
      </c>
    </row>
    <row r="59" spans="1:2" hidden="1" x14ac:dyDescent="0.25">
      <c r="A59" s="1" t="s">
        <v>57</v>
      </c>
    </row>
    <row r="60" spans="1:2" hidden="1" x14ac:dyDescent="0.25">
      <c r="A60" s="1" t="s">
        <v>58</v>
      </c>
    </row>
    <row r="61" spans="1:2" hidden="1" x14ac:dyDescent="0.25">
      <c r="A61" s="1" t="s">
        <v>59</v>
      </c>
    </row>
    <row r="62" spans="1:2" hidden="1" x14ac:dyDescent="0.25">
      <c r="A62" s="1" t="s">
        <v>60</v>
      </c>
    </row>
    <row r="63" spans="1:2" hidden="1" x14ac:dyDescent="0.25">
      <c r="A63" s="1" t="s">
        <v>61</v>
      </c>
    </row>
    <row r="64" spans="1:2" hidden="1" x14ac:dyDescent="0.25">
      <c r="A64" s="1" t="s">
        <v>62</v>
      </c>
    </row>
    <row r="65" spans="1:2" hidden="1" x14ac:dyDescent="0.25">
      <c r="A65" s="1" t="s">
        <v>63</v>
      </c>
    </row>
    <row r="66" spans="1:2" x14ac:dyDescent="0.25">
      <c r="A66" s="1" t="s">
        <v>64</v>
      </c>
      <c r="B66">
        <v>16</v>
      </c>
    </row>
    <row r="67" spans="1:2" x14ac:dyDescent="0.25">
      <c r="A67" s="1" t="s">
        <v>65</v>
      </c>
      <c r="B67">
        <v>17</v>
      </c>
    </row>
  </sheetData>
  <autoFilter ref="A1:B67" xr:uid="{73C5C85B-6BB0-4694-AFC7-F2003712BF1E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5E8C-4ACB-4B39-AEC4-63D925362E55}">
  <dimension ref="A1:D18"/>
  <sheetViews>
    <sheetView tabSelected="1" workbookViewId="0">
      <selection activeCell="D1" sqref="D1"/>
    </sheetView>
  </sheetViews>
  <sheetFormatPr defaultRowHeight="15" x14ac:dyDescent="0.25"/>
  <cols>
    <col min="1" max="1" width="16.85546875" bestFit="1" customWidth="1"/>
  </cols>
  <sheetData>
    <row r="1" spans="1:4" x14ac:dyDescent="0.25">
      <c r="A1" t="s">
        <v>225</v>
      </c>
      <c r="B1" t="s">
        <v>226</v>
      </c>
      <c r="D1" t="str">
        <f>_xlfn.TEXTJOIN(", ",TRUE,C2:C18)</f>
        <v>'Fab ID', 'Spool', 'Job', 'Spool Rev.', 'Spool/Piece Mark', 'Ref Drawing', 'Drawing Rev.', 'Pipe Spec', 'MAT. Group', 'NPS', 'PWHT', 'Paint System', 'Paint Color', 'Plant Area', 'Notes', 'Voided', 'Spool_Status'</v>
      </c>
    </row>
    <row r="2" spans="1:4" x14ac:dyDescent="0.25">
      <c r="A2" s="1" t="s">
        <v>0</v>
      </c>
      <c r="B2">
        <v>1</v>
      </c>
      <c r="C2" t="str">
        <f>_xlfn.CONCAT("'",A2,"'")</f>
        <v>'Fab ID'</v>
      </c>
    </row>
    <row r="3" spans="1:4" x14ac:dyDescent="0.25">
      <c r="A3" s="1" t="s">
        <v>1</v>
      </c>
      <c r="B3">
        <v>3</v>
      </c>
      <c r="C3" t="str">
        <f t="shared" ref="C3:C18" si="0">_xlfn.CONCAT("'",A3,"'")</f>
        <v>'Spool'</v>
      </c>
    </row>
    <row r="4" spans="1:4" x14ac:dyDescent="0.25">
      <c r="A4" s="1" t="s">
        <v>2</v>
      </c>
      <c r="B4">
        <v>2</v>
      </c>
      <c r="C4" t="str">
        <f t="shared" si="0"/>
        <v>'Job'</v>
      </c>
    </row>
    <row r="5" spans="1:4" x14ac:dyDescent="0.25">
      <c r="A5" s="1" t="s">
        <v>3</v>
      </c>
      <c r="B5">
        <v>4</v>
      </c>
      <c r="C5" t="str">
        <f t="shared" si="0"/>
        <v>'Spool Rev.'</v>
      </c>
    </row>
    <row r="6" spans="1:4" x14ac:dyDescent="0.25">
      <c r="A6" s="1" t="s">
        <v>4</v>
      </c>
      <c r="B6">
        <v>5</v>
      </c>
      <c r="C6" t="str">
        <f t="shared" si="0"/>
        <v>'Spool/Piece Mark'</v>
      </c>
    </row>
    <row r="7" spans="1:4" x14ac:dyDescent="0.25">
      <c r="A7" s="1" t="s">
        <v>5</v>
      </c>
      <c r="B7">
        <v>6</v>
      </c>
      <c r="C7" t="str">
        <f t="shared" si="0"/>
        <v>'Ref Drawing'</v>
      </c>
    </row>
    <row r="8" spans="1:4" x14ac:dyDescent="0.25">
      <c r="A8" s="1" t="s">
        <v>6</v>
      </c>
      <c r="B8">
        <v>7</v>
      </c>
      <c r="C8" t="str">
        <f t="shared" si="0"/>
        <v>'Drawing Rev.'</v>
      </c>
    </row>
    <row r="9" spans="1:4" x14ac:dyDescent="0.25">
      <c r="A9" s="1" t="s">
        <v>15</v>
      </c>
      <c r="B9">
        <v>8</v>
      </c>
      <c r="C9" t="str">
        <f t="shared" si="0"/>
        <v>'Pipe Spec'</v>
      </c>
    </row>
    <row r="10" spans="1:4" x14ac:dyDescent="0.25">
      <c r="A10" s="1" t="s">
        <v>16</v>
      </c>
      <c r="B10">
        <v>9</v>
      </c>
      <c r="C10" t="str">
        <f t="shared" si="0"/>
        <v>'MAT. Group'</v>
      </c>
    </row>
    <row r="11" spans="1:4" x14ac:dyDescent="0.25">
      <c r="A11" s="1" t="s">
        <v>17</v>
      </c>
      <c r="B11">
        <v>10</v>
      </c>
      <c r="C11" t="str">
        <f t="shared" si="0"/>
        <v>'NPS'</v>
      </c>
    </row>
    <row r="12" spans="1:4" x14ac:dyDescent="0.25">
      <c r="A12" s="1" t="s">
        <v>22</v>
      </c>
      <c r="B12">
        <v>11</v>
      </c>
      <c r="C12" t="str">
        <f t="shared" si="0"/>
        <v>'PWHT'</v>
      </c>
    </row>
    <row r="13" spans="1:4" x14ac:dyDescent="0.25">
      <c r="A13" s="1" t="s">
        <v>23</v>
      </c>
      <c r="B13">
        <v>12</v>
      </c>
      <c r="C13" t="str">
        <f t="shared" si="0"/>
        <v>'Paint System'</v>
      </c>
    </row>
    <row r="14" spans="1:4" x14ac:dyDescent="0.25">
      <c r="A14" s="1" t="s">
        <v>24</v>
      </c>
      <c r="B14">
        <v>13</v>
      </c>
      <c r="C14" t="str">
        <f t="shared" si="0"/>
        <v>'Paint Color'</v>
      </c>
    </row>
    <row r="15" spans="1:4" x14ac:dyDescent="0.25">
      <c r="A15" s="1" t="s">
        <v>25</v>
      </c>
      <c r="B15">
        <v>14</v>
      </c>
      <c r="C15" t="str">
        <f t="shared" si="0"/>
        <v>'Plant Area'</v>
      </c>
    </row>
    <row r="16" spans="1:4" x14ac:dyDescent="0.25">
      <c r="A16" s="1" t="s">
        <v>52</v>
      </c>
      <c r="B16">
        <v>15</v>
      </c>
      <c r="C16" t="str">
        <f t="shared" si="0"/>
        <v>'Notes'</v>
      </c>
    </row>
    <row r="17" spans="1:3" x14ac:dyDescent="0.25">
      <c r="A17" s="1" t="s">
        <v>64</v>
      </c>
      <c r="B17">
        <v>16</v>
      </c>
      <c r="C17" t="str">
        <f t="shared" si="0"/>
        <v>'Voided'</v>
      </c>
    </row>
    <row r="18" spans="1:3" x14ac:dyDescent="0.25">
      <c r="A18" s="1" t="s">
        <v>65</v>
      </c>
      <c r="B18">
        <v>17</v>
      </c>
      <c r="C18" t="str">
        <f t="shared" si="0"/>
        <v>'Spool_Status'</v>
      </c>
    </row>
  </sheetData>
  <autoFilter ref="A1:B1" xr:uid="{C9625E8C-4ACB-4B39-AEC4-63D925362E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Mccall</cp:lastModifiedBy>
  <dcterms:created xsi:type="dcterms:W3CDTF">2024-11-19T19:27:27Z</dcterms:created>
  <dcterms:modified xsi:type="dcterms:W3CDTF">2024-11-19T19:41:38Z</dcterms:modified>
</cp:coreProperties>
</file>